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f086e95ed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mary Scores" sheetId="1" r:id="Rca38ff9ecc56457c"/>
    <x:sheet xmlns:r="http://schemas.openxmlformats.org/officeDocument/2006/relationships" name="Verification" sheetId="2" r:id="R4aea78c8b0ef4a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5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left"/>
    </x:xf>
    <x:xf numFmtId="20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left"/>
    </x:xf>
    <x:xf numFmtId="200" fontId="0" fillId="0" borderId="3" xfId="0" applyNumberFormat="1" applyFont="1" applyFill="1" applyBorder="1" applyAlignment="1">
      <x:alignment horizontal="center"/>
    </x:xf>
    <x:xf numFmtId="200" fontId="0" fillId="3" borderId="2" xfId="0" applyNumberFormat="1" applyFont="1" applyFill="1" applyBorder="1" applyAlignment="1">
      <x:alignment horizontal="center"/>
    </x:xf>
    <x:xf numFmtId="200" fontId="0" fillId="3" borderId="3" xfId="0" applyNumberFormat="1" applyFont="1" applyFill="1" applyBorder="1" applyAlignment="1">
      <x:alignment horizontal="center"/>
    </x:xf>
    <x:xf numFmtId="200" fontId="2" fillId="3" borderId="2" xfId="0" applyNumberFormat="1" applyFont="1" applyFill="1" applyBorder="1" applyAlignment="1">
      <x:alignment horizontal="center"/>
    </x:xf>
    <x:xf numFmtId="200" fontId="2" fillId="3" borderId="3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0" fillId="0" borderId="4" xfId="0" applyNumberFormat="1" applyFont="1" applyFill="1" applyBorder="1"/>
    <x:xf numFmtId="201" fontId="0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b76d6426d4b6f" /><Relationship Type="http://schemas.openxmlformats.org/officeDocument/2006/relationships/theme" Target="/xl/theme/theme1.xml" Id="R266316f090de4089" /><Relationship Type="http://schemas.openxmlformats.org/officeDocument/2006/relationships/sharedStrings" Target="/xl/sharedStrings.xml" Id="R7dc535349aab40a6" /><Relationship Type="http://schemas.openxmlformats.org/officeDocument/2006/relationships/worksheet" Target="/xl/worksheets/sheet1.xml" Id="Rca38ff9ecc56457c" /><Relationship Type="http://schemas.openxmlformats.org/officeDocument/2006/relationships/worksheet" Target="/xl/worksheets/sheet2.xml" Id="R4aea78c8b0ef4aba" /></Relationships>
</file>

<file path=xl/tables/table1.xml><?xml version="1.0" encoding="utf-8"?>
<x:table xmlns:x="http://schemas.openxmlformats.org/spreadsheetml/2006/main" id="1" name="PrimaryScoresTable" displayName="PrimaryScoresTable" ref="A1:M31" headerRowCount="1" totalsRowCount="0" totalsRowShown="0">
  <x:tableColumns count="13">
    <x:tableColumn id="1" name="Benchmark"/>
    <x:tableColumn id="2" name="Category"/>
    <x:tableColumn id="3" name="Items Public"/>
    <x:tableColumn id="4" name="Labels Public"/>
    <x:tableColumn id="5" name="Scoring Method Public"/>
    <x:tableColumn id="6" name="Evaluation Code Public"/>
    <x:tableColumn id="7" name="Construct Defined"/>
    <x:tableColumn id="8" name="Coverage Documented"/>
    <x:tableColumn id="9" name="Annotation Process Clear"/>
    <x:tableColumn id="10" name="Limitations Stated"/>
    <x:tableColumn id="11" name="Versioning/Maintenance"/>
    <x:tableColumn id="12" name="License/Reuse Clear"/>
    <x:tableColumn id="13" name="Total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30f9ecbab646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2" hidden="0" customWidth="1"/>
  </x:cols>
  <x:sheetData>
    <x:row r="1" ht="15" hidden="0" customHeight="1">
      <x:c r="A1" s="9" t="str">
        <x:v>Benchmark</x:v>
      </x:c>
      <x:c r="B1" s="9" t="str">
        <x:v>Category</x:v>
      </x:c>
      <x:c r="C1" s="9" t="str">
        <x:v>Items Public</x:v>
      </x:c>
      <x:c r="D1" s="9" t="str">
        <x:v>Labels Public</x:v>
      </x:c>
      <x:c r="E1" s="9" t="str">
        <x:v>Scoring Method Public</x:v>
      </x:c>
      <x:c r="F1" s="9" t="str">
        <x:v>Evaluation Code Public</x:v>
      </x:c>
      <x:c r="G1" s="9" t="str">
        <x:v>Construct Defined</x:v>
      </x:c>
      <x:c r="H1" s="9" t="str">
        <x:v>Coverage Documented</x:v>
      </x:c>
      <x:c r="I1" s="9" t="str">
        <x:v>Annotation Process Clear</x:v>
      </x:c>
      <x:c r="J1" s="9" t="str">
        <x:v>Limitations Stated</x:v>
      </x:c>
      <x:c r="K1" s="9" t="str">
        <x:v>Versioning/Maintenance</x:v>
      </x:c>
      <x:c r="L1" s="9" t="str">
        <x:v>License/Reuse Clear</x:v>
      </x:c>
      <x:c r="M1" s="9" t="str">
        <x:v>Total Score</x:v>
      </x:c>
    </x:row>
    <x:row r="2" ht="15" hidden="0" customHeight="1">
      <x:c r="A2" s="10" t="str">
        <x:v>HELM</x:v>
      </x:c>
      <x:c r="B2" s="10" t="str">
        <x:v>Holistic / transparency</x:v>
      </x:c>
      <x:c r="C2" s="11" t="n">
        <x:v>2</x:v>
      </x:c>
      <x:c r="D2" s="11" t="n">
        <x:v>2</x:v>
      </x:c>
      <x:c r="E2" s="11" t="n">
        <x:v>2</x:v>
      </x:c>
      <x:c r="F2" s="11" t="n">
        <x:v>2</x:v>
      </x:c>
      <x:c r="G2" s="11" t="n">
        <x:v>2</x:v>
      </x:c>
      <x:c r="H2" s="11" t="n">
        <x:v>2</x:v>
      </x:c>
      <x:c r="I2" s="11" t="n">
        <x:v>1</x:v>
      </x:c>
      <x:c r="J2" s="11" t="n">
        <x:v>2</x:v>
      </x:c>
      <x:c r="K2" s="11" t="n">
        <x:v>2</x:v>
      </x:c>
      <x:c r="L2" s="11" t="n">
        <x:v>2</x:v>
      </x:c>
      <x:c r="M2" s="16" t="n">
        <x:f>SUM(C2:L2)</x:f>
        <x:v>19</x:v>
      </x:c>
    </x:row>
    <x:row r="3" ht="15" hidden="0" customHeight="1">
      <x:c r="A3" s="10" t="str">
        <x:v>VHELM</x:v>
      </x:c>
      <x:c r="B3" s="10" t="str">
        <x:v>Holistic / multimodal / transparency</x:v>
      </x:c>
      <x:c r="C3" s="11" t="n">
        <x:v>2</x:v>
      </x:c>
      <x:c r="D3" s="11" t="n">
        <x:v>2</x:v>
      </x:c>
      <x:c r="E3" s="11" t="n">
        <x:v>2</x:v>
      </x:c>
      <x:c r="F3" s="11" t="n">
        <x:v>2</x:v>
      </x:c>
      <x:c r="G3" s="11" t="n">
        <x:v>2</x:v>
      </x:c>
      <x:c r="H3" s="11" t="n">
        <x:v>2</x:v>
      </x:c>
      <x:c r="I3" s="11" t="n">
        <x:v>1</x:v>
      </x:c>
      <x:c r="J3" s="11" t="n">
        <x:v>2</x:v>
      </x:c>
      <x:c r="K3" s="11" t="n">
        <x:v>2</x:v>
      </x:c>
      <x:c r="L3" s="11" t="n">
        <x:v>2</x:v>
      </x:c>
      <x:c r="M3" s="16" t="n">
        <x:f>SUM(C3:L3)</x:f>
        <x:v>19</x:v>
      </x:c>
    </x:row>
    <x:row r="4" ht="15" hidden="0" customHeight="1">
      <x:c r="A4" s="10" t="str">
        <x:v>BBQ</x:v>
      </x:c>
      <x:c r="B4" s="10" t="str">
        <x:v>Bias / fairness / QA</x:v>
      </x:c>
      <x:c r="C4" s="11" t="n">
        <x:v>2</x:v>
      </x:c>
      <x:c r="D4" s="11" t="n">
        <x:v>2</x:v>
      </x:c>
      <x:c r="E4" s="11" t="n">
        <x:v>2</x:v>
      </x:c>
      <x:c r="F4" s="11" t="n">
        <x:v>1</x:v>
      </x:c>
      <x:c r="G4" s="11" t="n">
        <x:v>2</x:v>
      </x:c>
      <x:c r="H4" s="11" t="n">
        <x:v>2</x:v>
      </x:c>
      <x:c r="I4" s="11" t="n">
        <x:v>1</x:v>
      </x:c>
      <x:c r="J4" s="11" t="n">
        <x:v>2</x:v>
      </x:c>
      <x:c r="K4" s="11" t="n">
        <x:v>1</x:v>
      </x:c>
      <x:c r="L4" s="11" t="n">
        <x:v>1</x:v>
      </x:c>
      <x:c r="M4" s="16" t="n">
        <x:f>SUM(C4:L4)</x:f>
        <x:v>16</x:v>
      </x:c>
    </x:row>
    <x:row r="5" ht="15" hidden="0" customHeight="1">
      <x:c r="A5" s="10" t="str">
        <x:v>TruthfulQA</x:v>
      </x:c>
      <x:c r="B5" s="10" t="str">
        <x:v>Truthfulness / misinformation / QA</x:v>
      </x:c>
      <x:c r="C5" s="11" t="n">
        <x:v>2</x:v>
      </x:c>
      <x:c r="D5" s="11" t="n">
        <x:v>2</x:v>
      </x:c>
      <x:c r="E5" s="11" t="n">
        <x:v>2</x:v>
      </x:c>
      <x:c r="F5" s="11" t="n">
        <x:v>2</x:v>
      </x:c>
      <x:c r="G5" s="11" t="n">
        <x:v>2</x:v>
      </x:c>
      <x:c r="H5" s="11" t="n">
        <x:v>2</x:v>
      </x:c>
      <x:c r="I5" s="11" t="n">
        <x:v>1</x:v>
      </x:c>
      <x:c r="J5" s="11" t="n">
        <x:v>1</x:v>
      </x:c>
      <x:c r="K5" s="11" t="n">
        <x:v>2</x:v>
      </x:c>
      <x:c r="L5" s="11" t="n">
        <x:v>1</x:v>
      </x:c>
      <x:c r="M5" s="16" t="n">
        <x:f>SUM(C5:L5)</x:f>
        <x:v>17</x:v>
      </x:c>
    </x:row>
    <x:row r="6" ht="15" hidden="0" customHeight="1">
      <x:c r="A6" s="10" t="str">
        <x:v>RealToxicityPrompts</x:v>
      </x:c>
      <x:c r="B6" s="10" t="str">
        <x:v>Toxicity / generation safety</x:v>
      </x:c>
      <x:c r="C6" s="11" t="n">
        <x:v>2</x:v>
      </x:c>
      <x:c r="D6" s="11" t="n">
        <x:v>2</x:v>
      </x:c>
      <x:c r="E6" s="11" t="n">
        <x:v>2</x:v>
      </x:c>
      <x:c r="F6" s="11" t="n">
        <x:v>2</x:v>
      </x:c>
      <x:c r="G6" s="11" t="n">
        <x:v>2</x:v>
      </x:c>
      <x:c r="H6" s="11" t="n">
        <x:v>1</x:v>
      </x:c>
      <x:c r="I6" s="11" t="n">
        <x:v>1</x:v>
      </x:c>
      <x:c r="J6" s="11" t="n">
        <x:v>2</x:v>
      </x:c>
      <x:c r="K6" s="11" t="n">
        <x:v>1</x:v>
      </x:c>
      <x:c r="L6" s="11" t="n">
        <x:v>1</x:v>
      </x:c>
      <x:c r="M6" s="16" t="n">
        <x:f>SUM(C6:L6)</x:f>
        <x:v>16</x:v>
      </x:c>
    </x:row>
    <x:row r="7" ht="15" hidden="0" customHeight="1">
      <x:c r="A7" s="10" t="str">
        <x:v>StereoSet</x:v>
      </x:c>
      <x:c r="B7" s="10" t="str">
        <x:v>Stereotype bias</x:v>
      </x:c>
      <x:c r="C7" s="11" t="n">
        <x:v>2</x:v>
      </x:c>
      <x:c r="D7" s="11" t="n">
        <x:v>2</x:v>
      </x:c>
      <x:c r="E7" s="11" t="n">
        <x:v>2</x:v>
      </x:c>
      <x:c r="F7" s="11" t="n">
        <x:v>2</x:v>
      </x:c>
      <x:c r="G7" s="11" t="n">
        <x:v>2</x:v>
      </x:c>
      <x:c r="H7" s="11" t="n">
        <x:v>2</x:v>
      </x:c>
      <x:c r="I7" s="11" t="n">
        <x:v>1</x:v>
      </x:c>
      <x:c r="J7" s="11" t="n">
        <x:v>1</x:v>
      </x:c>
      <x:c r="K7" s="11" t="n">
        <x:v>1</x:v>
      </x:c>
      <x:c r="L7" s="11" t="n">
        <x:v>1</x:v>
      </x:c>
      <x:c r="M7" s="16" t="n">
        <x:f>SUM(C7:L7)</x:f>
        <x:v>16</x:v>
      </x:c>
    </x:row>
    <x:row r="8" ht="15" hidden="0" customHeight="1">
      <x:c r="A8" s="10" t="str">
        <x:v>CrowS-Pairs</x:v>
      </x:c>
      <x:c r="B8" s="10" t="str">
        <x:v>Stereotype bias</x:v>
      </x:c>
      <x:c r="C8" s="11" t="n">
        <x:v>2</x:v>
      </x:c>
      <x:c r="D8" s="11" t="n">
        <x:v>2</x:v>
      </x:c>
      <x:c r="E8" s="11" t="n">
        <x:v>2</x:v>
      </x:c>
      <x:c r="F8" s="11" t="n">
        <x:v>1</x:v>
      </x:c>
      <x:c r="G8" s="11" t="n">
        <x:v>2</x:v>
      </x:c>
      <x:c r="H8" s="11" t="n">
        <x:v>2</x:v>
      </x:c>
      <x:c r="I8" s="11" t="n">
        <x:v>1</x:v>
      </x:c>
      <x:c r="J8" s="11" t="n">
        <x:v>1</x:v>
      </x:c>
      <x:c r="K8" s="11" t="n">
        <x:v>1</x:v>
      </x:c>
      <x:c r="L8" s="11" t="n">
        <x:v>1</x:v>
      </x:c>
      <x:c r="M8" s="16" t="n">
        <x:f>SUM(C8:L8)</x:f>
        <x:v>15</x:v>
      </x:c>
    </x:row>
    <x:row r="9" ht="15" hidden="0" customHeight="1">
      <x:c r="A9" s="10" t="str">
        <x:v>BOLD</x:v>
      </x:c>
      <x:c r="B9" s="10" t="str">
        <x:v>Bias / open-ended generation</x:v>
      </x:c>
      <x:c r="C9" s="11" t="n">
        <x:v>2</x:v>
      </x:c>
      <x:c r="D9" s="11" t="n">
        <x:v>2</x:v>
      </x:c>
      <x:c r="E9" s="11" t="n">
        <x:v>2</x:v>
      </x:c>
      <x:c r="F9" s="11" t="n">
        <x:v>1</x:v>
      </x:c>
      <x:c r="G9" s="11" t="n">
        <x:v>2</x:v>
      </x:c>
      <x:c r="H9" s="11" t="n">
        <x:v>2</x:v>
      </x:c>
      <x:c r="I9" s="11" t="n">
        <x:v>1</x:v>
      </x:c>
      <x:c r="J9" s="11" t="n">
        <x:v>1</x:v>
      </x:c>
      <x:c r="K9" s="11" t="n">
        <x:v>1</x:v>
      </x:c>
      <x:c r="L9" s="11" t="n">
        <x:v>1</x:v>
      </x:c>
      <x:c r="M9" s="16" t="n">
        <x:f>SUM(C9:L9)</x:f>
        <x:v>15</x:v>
      </x:c>
    </x:row>
    <x:row r="10" ht="15" hidden="0" customHeight="1">
      <x:c r="A10" s="10" t="str">
        <x:v>ToxiGen</x:v>
      </x:c>
      <x:c r="B10" s="10" t="str">
        <x:v>Hate / toxicity</x:v>
      </x:c>
      <x:c r="C10" s="11" t="n">
        <x:v>2</x:v>
      </x:c>
      <x:c r="D10" s="11" t="n">
        <x:v>2</x:v>
      </x:c>
      <x:c r="E10" s="11" t="n">
        <x:v>2</x:v>
      </x:c>
      <x:c r="F10" s="11" t="n">
        <x:v>2</x:v>
      </x:c>
      <x:c r="G10" s="11" t="n">
        <x:v>2</x:v>
      </x:c>
      <x:c r="H10" s="11" t="n">
        <x:v>2</x:v>
      </x:c>
      <x:c r="I10" s="11" t="n">
        <x:v>2</x:v>
      </x:c>
      <x:c r="J10" s="11" t="n">
        <x:v>1</x:v>
      </x:c>
      <x:c r="K10" s="11" t="n">
        <x:v>1</x:v>
      </x:c>
      <x:c r="L10" s="11" t="n">
        <x:v>1</x:v>
      </x:c>
      <x:c r="M10" s="16" t="n">
        <x:f>SUM(C10:L10)</x:f>
        <x:v>17</x:v>
      </x:c>
    </x:row>
    <x:row r="11" ht="15" hidden="0" customHeight="1">
      <x:c r="A11" s="10" t="str">
        <x:v>HateCheck</x:v>
      </x:c>
      <x:c r="B11" s="10" t="str">
        <x:v>Hate-speech functionality tests</x:v>
      </x:c>
      <x:c r="C11" s="11" t="n">
        <x:v>2</x:v>
      </x:c>
      <x:c r="D11" s="11" t="n">
        <x:v>2</x:v>
      </x:c>
      <x:c r="E11" s="11" t="n">
        <x:v>2</x:v>
      </x:c>
      <x:c r="F11" s="11" t="n">
        <x:v>2</x:v>
      </x:c>
      <x:c r="G11" s="11" t="n">
        <x:v>2</x:v>
      </x:c>
      <x:c r="H11" s="11" t="n">
        <x:v>2</x:v>
      </x:c>
      <x:c r="I11" s="11" t="n">
        <x:v>2</x:v>
      </x:c>
      <x:c r="J11" s="11" t="n">
        <x:v>2</x:v>
      </x:c>
      <x:c r="K11" s="11" t="n">
        <x:v>1</x:v>
      </x:c>
      <x:c r="L11" s="11" t="n">
        <x:v>2</x:v>
      </x:c>
      <x:c r="M11" s="16" t="n">
        <x:f>SUM(C11:L11)</x:f>
        <x:v>19</x:v>
      </x:c>
    </x:row>
    <x:row r="12" ht="15" hidden="0" customHeight="1">
      <x:c r="A12" s="10" t="str">
        <x:v>ToxicChat</x:v>
      </x:c>
      <x:c r="B12" s="10" t="str">
        <x:v>Toxicity / chat prompts</x:v>
      </x:c>
      <x:c r="C12" s="11" t="n">
        <x:v>2</x:v>
      </x:c>
      <x:c r="D12" s="11" t="n">
        <x:v>2</x:v>
      </x:c>
      <x:c r="E12" s="11" t="n">
        <x:v>2</x:v>
      </x:c>
      <x:c r="F12" s="11" t="n">
        <x:v>1</x:v>
      </x:c>
      <x:c r="G12" s="11" t="n">
        <x:v>2</x:v>
      </x:c>
      <x:c r="H12" s="11" t="n">
        <x:v>1</x:v>
      </x:c>
      <x:c r="I12" s="11" t="n">
        <x:v>2</x:v>
      </x:c>
      <x:c r="J12" s="11" t="n">
        <x:v>1</x:v>
      </x:c>
      <x:c r="K12" s="11" t="n">
        <x:v>1</x:v>
      </x:c>
      <x:c r="L12" s="11" t="n">
        <x:v>1</x:v>
      </x:c>
      <x:c r="M12" s="16" t="n">
        <x:f>SUM(C12:L12)</x:f>
        <x:v>15</x:v>
      </x:c>
    </x:row>
    <x:row r="13" ht="15" hidden="0" customHeight="1">
      <x:c r="A13" s="10" t="str">
        <x:v>XSTest</x:v>
      </x:c>
      <x:c r="B13" s="10" t="str">
        <x:v>Safety / over-refusal</x:v>
      </x:c>
      <x:c r="C13" s="11" t="n">
        <x:v>2</x:v>
      </x:c>
      <x:c r="D13" s="11" t="n">
        <x:v>2</x:v>
      </x:c>
      <x:c r="E13" s="11" t="n">
        <x:v>2</x:v>
      </x:c>
      <x:c r="F13" s="11" t="n">
        <x:v>2</x:v>
      </x:c>
      <x:c r="G13" s="11" t="n">
        <x:v>2</x:v>
      </x:c>
      <x:c r="H13" s="11" t="n">
        <x:v>2</x:v>
      </x:c>
      <x:c r="I13" s="11" t="n">
        <x:v>2</x:v>
      </x:c>
      <x:c r="J13" s="11" t="n">
        <x:v>2</x:v>
      </x:c>
      <x:c r="K13" s="11" t="n">
        <x:v>1</x:v>
      </x:c>
      <x:c r="L13" s="11" t="n">
        <x:v>1</x:v>
      </x:c>
      <x:c r="M13" s="16" t="n">
        <x:f>SUM(C13:L13)</x:f>
        <x:v>18</x:v>
      </x:c>
    </x:row>
    <x:row r="14" ht="15" hidden="0" customHeight="1">
      <x:c r="A14" s="10" t="str">
        <x:v>Do-Not-Answer</x:v>
      </x:c>
      <x:c r="B14" s="10" t="str">
        <x:v>Safety / refusal</x:v>
      </x:c>
      <x:c r="C14" s="11" t="n">
        <x:v>2</x:v>
      </x:c>
      <x:c r="D14" s="11" t="n">
        <x:v>2</x:v>
      </x:c>
      <x:c r="E14" s="11" t="n">
        <x:v>2</x:v>
      </x:c>
      <x:c r="F14" s="11" t="n">
        <x:v>1</x:v>
      </x:c>
      <x:c r="G14" s="11" t="n">
        <x:v>2</x:v>
      </x:c>
      <x:c r="H14" s="11" t="n">
        <x:v>2</x:v>
      </x:c>
      <x:c r="I14" s="11" t="n">
        <x:v>2</x:v>
      </x:c>
      <x:c r="J14" s="11" t="n">
        <x:v>2</x:v>
      </x:c>
      <x:c r="K14" s="11" t="n">
        <x:v>1</x:v>
      </x:c>
      <x:c r="L14" s="11" t="n">
        <x:v>1</x:v>
      </x:c>
      <x:c r="M14" s="16" t="n">
        <x:f>SUM(C14:L14)</x:f>
        <x:v>17</x:v>
      </x:c>
    </x:row>
    <x:row r="15" ht="15" hidden="0" customHeight="1">
      <x:c r="A15" s="10" t="str">
        <x:v>SafetyBench</x:v>
      </x:c>
      <x:c r="B15" s="10" t="str">
        <x:v>Safety / multilingual</x:v>
      </x:c>
      <x:c r="C15" s="11" t="n">
        <x:v>2</x:v>
      </x:c>
      <x:c r="D15" s="11" t="n">
        <x:v>2</x:v>
      </x:c>
      <x:c r="E15" s="11" t="n">
        <x:v>2</x:v>
      </x:c>
      <x:c r="F15" s="11" t="n">
        <x:v>2</x:v>
      </x:c>
      <x:c r="G15" s="11" t="n">
        <x:v>2</x:v>
      </x:c>
      <x:c r="H15" s="11" t="n">
        <x:v>2</x:v>
      </x:c>
      <x:c r="I15" s="11" t="n">
        <x:v>1</x:v>
      </x:c>
      <x:c r="J15" s="11" t="n">
        <x:v>1</x:v>
      </x:c>
      <x:c r="K15" s="11" t="n">
        <x:v>1</x:v>
      </x:c>
      <x:c r="L15" s="11" t="n">
        <x:v>1</x:v>
      </x:c>
      <x:c r="M15" s="16" t="n">
        <x:f>SUM(C15:L15)</x:f>
        <x:v>16</x:v>
      </x:c>
    </x:row>
    <x:row r="16" ht="15" hidden="0" customHeight="1">
      <x:c r="A16" s="10" t="str">
        <x:v>HarmBench</x:v>
      </x:c>
      <x:c r="B16" s="10" t="str">
        <x:v>Safety / red-teaming evaluation</x:v>
      </x:c>
      <x:c r="C16" s="11" t="n">
        <x:v>2</x:v>
      </x:c>
      <x:c r="D16" s="11" t="n">
        <x:v>2</x:v>
      </x:c>
      <x:c r="E16" s="11" t="n">
        <x:v>2</x:v>
      </x:c>
      <x:c r="F16" s="11" t="n">
        <x:v>2</x:v>
      </x:c>
      <x:c r="G16" s="11" t="n">
        <x:v>2</x:v>
      </x:c>
      <x:c r="H16" s="11" t="n">
        <x:v>2</x:v>
      </x:c>
      <x:c r="I16" s="11" t="n">
        <x:v>1</x:v>
      </x:c>
      <x:c r="J16" s="11" t="n">
        <x:v>2</x:v>
      </x:c>
      <x:c r="K16" s="11" t="n">
        <x:v>1</x:v>
      </x:c>
      <x:c r="L16" s="11" t="n">
        <x:v>1</x:v>
      </x:c>
      <x:c r="M16" s="16" t="n">
        <x:f>SUM(C16:L16)</x:f>
        <x:v>17</x:v>
      </x:c>
    </x:row>
    <x:row r="17" ht="15" hidden="0" customHeight="1">
      <x:c r="A17" s="10" t="str">
        <x:v>JailbreakBench</x:v>
      </x:c>
      <x:c r="B17" s="10" t="str">
        <x:v>Safety / jailbreak robustness</x:v>
      </x:c>
      <x:c r="C17" s="11" t="n">
        <x:v>2</x:v>
      </x:c>
      <x:c r="D17" s="11" t="n">
        <x:v>2</x:v>
      </x:c>
      <x:c r="E17" s="11" t="n">
        <x:v>2</x:v>
      </x:c>
      <x:c r="F17" s="11" t="n">
        <x:v>2</x:v>
      </x:c>
      <x:c r="G17" s="11" t="n">
        <x:v>2</x:v>
      </x:c>
      <x:c r="H17" s="11" t="n">
        <x:v>2</x:v>
      </x:c>
      <x:c r="I17" s="11" t="n">
        <x:v>1</x:v>
      </x:c>
      <x:c r="J17" s="11" t="n">
        <x:v>2</x:v>
      </x:c>
      <x:c r="K17" s="11" t="n">
        <x:v>2</x:v>
      </x:c>
      <x:c r="L17" s="11" t="n">
        <x:v>1</x:v>
      </x:c>
      <x:c r="M17" s="16" t="n">
        <x:f>SUM(C17:L17)</x:f>
        <x:v>18</x:v>
      </x:c>
    </x:row>
    <x:row r="18" ht="15" hidden="0" customHeight="1">
      <x:c r="A18" s="10" t="str">
        <x:v>BeaverTails</x:v>
      </x:c>
      <x:c r="B18" s="10" t="str">
        <x:v>Safety alignment / helpfulness-harmlessness</x:v>
      </x:c>
      <x:c r="C18" s="11" t="n">
        <x:v>2</x:v>
      </x:c>
      <x:c r="D18" s="11" t="n">
        <x:v>2</x:v>
      </x:c>
      <x:c r="E18" s="11" t="n">
        <x:v>2</x:v>
      </x:c>
      <x:c r="F18" s="11" t="n">
        <x:v>1</x:v>
      </x:c>
      <x:c r="G18" s="11" t="n">
        <x:v>2</x:v>
      </x:c>
      <x:c r="H18" s="11" t="n">
        <x:v>2</x:v>
      </x:c>
      <x:c r="I18" s="11" t="n">
        <x:v>2</x:v>
      </x:c>
      <x:c r="J18" s="11" t="n">
        <x:v>1</x:v>
      </x:c>
      <x:c r="K18" s="11" t="n">
        <x:v>2</x:v>
      </x:c>
      <x:c r="L18" s="11" t="n">
        <x:v>1</x:v>
      </x:c>
      <x:c r="M18" s="16" t="n">
        <x:f>SUM(C18:L18)</x:f>
        <x:v>17</x:v>
      </x:c>
    </x:row>
    <x:row r="19" ht="15" hidden="0" customHeight="1">
      <x:c r="A19" s="10" t="str">
        <x:v>TrustLLM</x:v>
      </x:c>
      <x:c r="B19" s="10" t="str">
        <x:v>Trustworthiness suite</x:v>
      </x:c>
      <x:c r="C19" s="11" t="n">
        <x:v>2</x:v>
      </x:c>
      <x:c r="D19" s="11" t="n">
        <x:v>2</x:v>
      </x:c>
      <x:c r="E19" s="11" t="n">
        <x:v>2</x:v>
      </x:c>
      <x:c r="F19" s="11" t="n">
        <x:v>2</x:v>
      </x:c>
      <x:c r="G19" s="11" t="n">
        <x:v>2</x:v>
      </x:c>
      <x:c r="H19" s="11" t="n">
        <x:v>2</x:v>
      </x:c>
      <x:c r="I19" s="11" t="n">
        <x:v>1</x:v>
      </x:c>
      <x:c r="J19" s="11" t="n">
        <x:v>2</x:v>
      </x:c>
      <x:c r="K19" s="11" t="n">
        <x:v>1</x:v>
      </x:c>
      <x:c r="L19" s="11" t="n">
        <x:v>1</x:v>
      </x:c>
      <x:c r="M19" s="16" t="n">
        <x:f>SUM(C19:L19)</x:f>
        <x:v>17</x:v>
      </x:c>
    </x:row>
    <x:row r="20" ht="15" hidden="0" customHeight="1">
      <x:c r="A20" s="10" t="str">
        <x:v>DecodingTrust</x:v>
      </x:c>
      <x:c r="B20" s="10" t="str">
        <x:v>Trustworthiness suite</x:v>
      </x:c>
      <x:c r="C20" s="11" t="n">
        <x:v>2</x:v>
      </x:c>
      <x:c r="D20" s="11" t="n">
        <x:v>2</x:v>
      </x:c>
      <x:c r="E20" s="11" t="n">
        <x:v>2</x:v>
      </x:c>
      <x:c r="F20" s="11" t="n">
        <x:v>2</x:v>
      </x:c>
      <x:c r="G20" s="11" t="n">
        <x:v>2</x:v>
      </x:c>
      <x:c r="H20" s="11" t="n">
        <x:v>2</x:v>
      </x:c>
      <x:c r="I20" s="11" t="n">
        <x:v>1</x:v>
      </x:c>
      <x:c r="J20" s="11" t="n">
        <x:v>1</x:v>
      </x:c>
      <x:c r="K20" s="11" t="n">
        <x:v>1</x:v>
      </x:c>
      <x:c r="L20" s="11" t="n">
        <x:v>1</x:v>
      </x:c>
      <x:c r="M20" s="16" t="n">
        <x:f>SUM(C20:L20)</x:f>
        <x:v>16</x:v>
      </x:c>
    </x:row>
    <x:row r="21" ht="15" hidden="0" customHeight="1">
      <x:c r="A21" s="10" t="str">
        <x:v>CEB</x:v>
      </x:c>
      <x:c r="B21" s="10" t="str">
        <x:v>Bias / fairness / compositional</x:v>
      </x:c>
      <x:c r="C21" s="11" t="n">
        <x:v>2</x:v>
      </x:c>
      <x:c r="D21" s="11" t="n">
        <x:v>2</x:v>
      </x:c>
      <x:c r="E21" s="11" t="n">
        <x:v>2</x:v>
      </x:c>
      <x:c r="F21" s="11" t="n">
        <x:v>1</x:v>
      </x:c>
      <x:c r="G21" s="11" t="n">
        <x:v>2</x:v>
      </x:c>
      <x:c r="H21" s="11" t="n">
        <x:v>2</x:v>
      </x:c>
      <x:c r="I21" s="11" t="n">
        <x:v>1</x:v>
      </x:c>
      <x:c r="J21" s="11" t="n">
        <x:v>1</x:v>
      </x:c>
      <x:c r="K21" s="11" t="n">
        <x:v>1</x:v>
      </x:c>
      <x:c r="L21" s="11" t="n">
        <x:v>1</x:v>
      </x:c>
      <x:c r="M21" s="16" t="n">
        <x:f>SUM(C21:L21)</x:f>
        <x:v>15</x:v>
      </x:c>
    </x:row>
    <x:row r="22" ht="15" hidden="0" customHeight="1">
      <x:c r="A22" s="10" t="str">
        <x:v>HONEST</x:v>
      </x:c>
      <x:c r="B22" s="10" t="str">
        <x:v>Hurtful completion / multilingual bias</x:v>
      </x:c>
      <x:c r="C22" s="11" t="n">
        <x:v>2</x:v>
      </x:c>
      <x:c r="D22" s="11" t="n">
        <x:v>2</x:v>
      </x:c>
      <x:c r="E22" s="11" t="n">
        <x:v>2</x:v>
      </x:c>
      <x:c r="F22" s="11" t="n">
        <x:v>2</x:v>
      </x:c>
      <x:c r="G22" s="11" t="n">
        <x:v>2</x:v>
      </x:c>
      <x:c r="H22" s="11" t="n">
        <x:v>2</x:v>
      </x:c>
      <x:c r="I22" s="11" t="n">
        <x:v>1</x:v>
      </x:c>
      <x:c r="J22" s="11" t="n">
        <x:v>1</x:v>
      </x:c>
      <x:c r="K22" s="11" t="n">
        <x:v>1</x:v>
      </x:c>
      <x:c r="L22" s="11" t="n">
        <x:v>1</x:v>
      </x:c>
      <x:c r="M22" s="16" t="n">
        <x:f>SUM(C22:L22)</x:f>
        <x:v>16</x:v>
      </x:c>
    </x:row>
    <x:row r="23" ht="15" hidden="0" customHeight="1">
      <x:c r="A23" s="10" t="str">
        <x:v>WinoMT</x:v>
      </x:c>
      <x:c r="B23" s="10" t="str">
        <x:v>Gender bias / machine translation</x:v>
      </x:c>
      <x:c r="C23" s="11" t="n">
        <x:v>2</x:v>
      </x:c>
      <x:c r="D23" s="11" t="n">
        <x:v>2</x:v>
      </x:c>
      <x:c r="E23" s="11" t="n">
        <x:v>2</x:v>
      </x:c>
      <x:c r="F23" s="11" t="n">
        <x:v>2</x:v>
      </x:c>
      <x:c r="G23" s="11" t="n">
        <x:v>2</x:v>
      </x:c>
      <x:c r="H23" s="11" t="n">
        <x:v>2</x:v>
      </x:c>
      <x:c r="I23" s="11" t="n">
        <x:v>1</x:v>
      </x:c>
      <x:c r="J23" s="11" t="n">
        <x:v>1</x:v>
      </x:c>
      <x:c r="K23" s="11" t="n">
        <x:v>1</x:v>
      </x:c>
      <x:c r="L23" s="11" t="n">
        <x:v>1</x:v>
      </x:c>
      <x:c r="M23" s="16" t="n">
        <x:f>SUM(C23:L23)</x:f>
        <x:v>16</x:v>
      </x:c>
    </x:row>
    <x:row r="24" ht="15" hidden="0" customHeight="1">
      <x:c r="A24" s="10" t="str">
        <x:v>ETHICS</x:v>
      </x:c>
      <x:c r="B24" s="10" t="str">
        <x:v>Machine ethics / values</x:v>
      </x:c>
      <x:c r="C24" s="11" t="n">
        <x:v>2</x:v>
      </x:c>
      <x:c r="D24" s="11" t="n">
        <x:v>2</x:v>
      </x:c>
      <x:c r="E24" s="11" t="n">
        <x:v>2</x:v>
      </x:c>
      <x:c r="F24" s="11" t="n">
        <x:v>2</x:v>
      </x:c>
      <x:c r="G24" s="11" t="n">
        <x:v>2</x:v>
      </x:c>
      <x:c r="H24" s="11" t="n">
        <x:v>2</x:v>
      </x:c>
      <x:c r="I24" s="11" t="n">
        <x:v>1</x:v>
      </x:c>
      <x:c r="J24" s="11" t="n">
        <x:v>1</x:v>
      </x:c>
      <x:c r="K24" s="11" t="n">
        <x:v>1</x:v>
      </x:c>
      <x:c r="L24" s="11" t="n">
        <x:v>1</x:v>
      </x:c>
      <x:c r="M24" s="16" t="n">
        <x:f>SUM(C24:L24)</x:f>
        <x:v>16</x:v>
      </x:c>
    </x:row>
    <x:row r="25" ht="15" hidden="0" customHeight="1">
      <x:c r="A25" s="10" t="str">
        <x:v>HolisticBias</x:v>
      </x:c>
      <x:c r="B25" s="10" t="str">
        <x:v>Demographic bias / generation</x:v>
      </x:c>
      <x:c r="C25" s="11" t="n">
        <x:v>2</x:v>
      </x:c>
      <x:c r="D25" s="11" t="n">
        <x:v>2</x:v>
      </x:c>
      <x:c r="E25" s="11" t="n">
        <x:v>2</x:v>
      </x:c>
      <x:c r="F25" s="11" t="n">
        <x:v>1</x:v>
      </x:c>
      <x:c r="G25" s="11" t="n">
        <x:v>2</x:v>
      </x:c>
      <x:c r="H25" s="11" t="n">
        <x:v>2</x:v>
      </x:c>
      <x:c r="I25" s="11" t="n">
        <x:v>1</x:v>
      </x:c>
      <x:c r="J25" s="11" t="n">
        <x:v>1</x:v>
      </x:c>
      <x:c r="K25" s="11" t="n">
        <x:v>1</x:v>
      </x:c>
      <x:c r="L25" s="11" t="n">
        <x:v>1</x:v>
      </x:c>
      <x:c r="M25" s="16" t="n">
        <x:f>SUM(C25:L25)</x:f>
        <x:v>15</x:v>
      </x:c>
    </x:row>
    <x:row r="26" ht="15" hidden="0" customHeight="1">
      <x:c r="A26" s="10" t="str">
        <x:v>UnQover</x:v>
      </x:c>
      <x:c r="B26" s="10" t="str">
        <x:v>Stereotype bias / QA</x:v>
      </x:c>
      <x:c r="C26" s="11" t="n">
        <x:v>2</x:v>
      </x:c>
      <x:c r="D26" s="11" t="n">
        <x:v>2</x:v>
      </x:c>
      <x:c r="E26" s="11" t="n">
        <x:v>2</x:v>
      </x:c>
      <x:c r="F26" s="11" t="n">
        <x:v>1</x:v>
      </x:c>
      <x:c r="G26" s="11" t="n">
        <x:v>2</x:v>
      </x:c>
      <x:c r="H26" s="11" t="n">
        <x:v>2</x:v>
      </x:c>
      <x:c r="I26" s="11" t="n">
        <x:v>1</x:v>
      </x:c>
      <x:c r="J26" s="11" t="n">
        <x:v>1</x:v>
      </x:c>
      <x:c r="K26" s="11" t="n">
        <x:v>1</x:v>
      </x:c>
      <x:c r="L26" s="11" t="n">
        <x:v>1</x:v>
      </x:c>
      <x:c r="M26" s="16" t="n">
        <x:f>SUM(C26:L26)</x:f>
        <x:v>15</x:v>
      </x:c>
    </x:row>
    <x:row r="27" ht="15" hidden="0" customHeight="1">
      <x:c r="A27" s="10" t="str">
        <x:v>Winogender Schemas</x:v>
      </x:c>
      <x:c r="B27" s="10" t="str">
        <x:v>Gender bias / coreference</x:v>
      </x:c>
      <x:c r="C27" s="11" t="n">
        <x:v>2</x:v>
      </x:c>
      <x:c r="D27" s="11" t="n">
        <x:v>2</x:v>
      </x:c>
      <x:c r="E27" s="11" t="n">
        <x:v>2</x:v>
      </x:c>
      <x:c r="F27" s="11" t="n">
        <x:v>1</x:v>
      </x:c>
      <x:c r="G27" s="11" t="n">
        <x:v>2</x:v>
      </x:c>
      <x:c r="H27" s="11" t="n">
        <x:v>2</x:v>
      </x:c>
      <x:c r="I27" s="11" t="n">
        <x:v>1</x:v>
      </x:c>
      <x:c r="J27" s="11" t="n">
        <x:v>1</x:v>
      </x:c>
      <x:c r="K27" s="11" t="n">
        <x:v>1</x:v>
      </x:c>
      <x:c r="L27" s="11" t="n">
        <x:v>1</x:v>
      </x:c>
      <x:c r="M27" s="16" t="n">
        <x:f>SUM(C27:L27)</x:f>
        <x:v>15</x:v>
      </x:c>
    </x:row>
    <x:row r="28" ht="15" hidden="0" customHeight="1">
      <x:c r="A28" s="10" t="str">
        <x:v>WinoBias</x:v>
      </x:c>
      <x:c r="B28" s="10" t="str">
        <x:v>Gender bias / coreference</x:v>
      </x:c>
      <x:c r="C28" s="11" t="n">
        <x:v>2</x:v>
      </x:c>
      <x:c r="D28" s="11" t="n">
        <x:v>2</x:v>
      </x:c>
      <x:c r="E28" s="11" t="n">
        <x:v>2</x:v>
      </x:c>
      <x:c r="F28" s="11" t="n">
        <x:v>1</x:v>
      </x:c>
      <x:c r="G28" s="11" t="n">
        <x:v>2</x:v>
      </x:c>
      <x:c r="H28" s="11" t="n">
        <x:v>2</x:v>
      </x:c>
      <x:c r="I28" s="11" t="n">
        <x:v>1</x:v>
      </x:c>
      <x:c r="J28" s="11" t="n">
        <x:v>1</x:v>
      </x:c>
      <x:c r="K28" s="11" t="n">
        <x:v>1</x:v>
      </x:c>
      <x:c r="L28" s="11" t="n">
        <x:v>1</x:v>
      </x:c>
      <x:c r="M28" s="16" t="n">
        <x:f>SUM(C28:L28)</x:f>
        <x:v>15</x:v>
      </x:c>
    </x:row>
    <x:row r="29" ht="15" hidden="0" customHeight="1">
      <x:c r="A29" s="10" t="str">
        <x:v>CivilComments / Jigsaw Unintended Bias</x:v>
      </x:c>
      <x:c r="B29" s="10" t="str">
        <x:v>Toxicity / unintended bias</x:v>
      </x:c>
      <x:c r="C29" s="11" t="n">
        <x:v>2</x:v>
      </x:c>
      <x:c r="D29" s="11" t="n">
        <x:v>2</x:v>
      </x:c>
      <x:c r="E29" s="11" t="n">
        <x:v>1</x:v>
      </x:c>
      <x:c r="F29" s="11" t="n">
        <x:v>1</x:v>
      </x:c>
      <x:c r="G29" s="11" t="n">
        <x:v>1</x:v>
      </x:c>
      <x:c r="H29" s="11" t="n">
        <x:v>1</x:v>
      </x:c>
      <x:c r="I29" s="11" t="n">
        <x:v>1</x:v>
      </x:c>
      <x:c r="J29" s="11" t="n">
        <x:v>1</x:v>
      </x:c>
      <x:c r="K29" s="11" t="n">
        <x:v>1</x:v>
      </x:c>
      <x:c r="L29" s="11" t="n">
        <x:v>1</x:v>
      </x:c>
      <x:c r="M29" s="16" t="n">
        <x:f>SUM(C29:L29)</x:f>
        <x:v>12</x:v>
      </x:c>
    </x:row>
    <x:row r="30" ht="15" hidden="0" customHeight="1">
      <x:c r="A30" s="10" t="str">
        <x:v>HaluEval</x:v>
      </x:c>
      <x:c r="B30" s="10" t="str">
        <x:v>Hallucination / truthfulness</x:v>
      </x:c>
      <x:c r="C30" s="11" t="n">
        <x:v>2</x:v>
      </x:c>
      <x:c r="D30" s="11" t="n">
        <x:v>2</x:v>
      </x:c>
      <x:c r="E30" s="11" t="n">
        <x:v>2</x:v>
      </x:c>
      <x:c r="F30" s="11" t="n">
        <x:v>1</x:v>
      </x:c>
      <x:c r="G30" s="11" t="n">
        <x:v>2</x:v>
      </x:c>
      <x:c r="H30" s="11" t="n">
        <x:v>2</x:v>
      </x:c>
      <x:c r="I30" s="11" t="n">
        <x:v>1</x:v>
      </x:c>
      <x:c r="J30" s="11" t="n">
        <x:v>1</x:v>
      </x:c>
      <x:c r="K30" s="11" t="n">
        <x:v>1</x:v>
      </x:c>
      <x:c r="L30" s="11" t="n">
        <x:v>1</x:v>
      </x:c>
      <x:c r="M30" s="16" t="n">
        <x:f>SUM(C30:L30)</x:f>
        <x:v>15</x:v>
      </x:c>
    </x:row>
    <x:row r="31" ht="15" hidden="0" customHeight="1">
      <x:c r="A31" s="12" t="str">
        <x:v>AdvBench</x:v>
      </x:c>
      <x:c r="B31" s="12" t="str">
        <x:v>Safety / harmfulness / adversarial prompts</x:v>
      </x:c>
      <x:c r="C31" s="13" t="n">
        <x:v>2</x:v>
      </x:c>
      <x:c r="D31" s="13" t="n">
        <x:v>2</x:v>
      </x:c>
      <x:c r="E31" s="13" t="n">
        <x:v>1</x:v>
      </x:c>
      <x:c r="F31" s="13" t="n">
        <x:v>1</x:v>
      </x:c>
      <x:c r="G31" s="13" t="n">
        <x:v>2</x:v>
      </x:c>
      <x:c r="H31" s="13" t="n">
        <x:v>1</x:v>
      </x:c>
      <x:c r="I31" s="13" t="n">
        <x:v>0</x:v>
      </x:c>
      <x:c r="J31" s="13" t="n">
        <x:v>1</x:v>
      </x:c>
      <x:c r="K31" s="13" t="n">
        <x:v>1</x:v>
      </x:c>
      <x:c r="L31" s="13" t="n">
        <x:v>0</x:v>
      </x:c>
      <x:c r="M31" s="17" t="n">
        <x:f>SUM(C31:L31)</x:f>
        <x:v>11</x:v>
      </x:c>
    </x:row>
  </x:sheetData>
  <x:conditionalFormatting sqref="C2:L31">
    <x:cfRule type="colorScale" priority="1">
      <x:colorScale>
        <x:cfvo type="num" val="0"/>
        <x:cfvo type="num" val="1"/>
        <x:cfvo type="num" val="2"/>
        <x:color rgb="FFFDE9E7"/>
        <x:color rgb="FFFFF4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c30f9ecbab6469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</x:cols>
  <x:sheetData>
    <x:row r="1" ht="28" customHeight="1">
      <x:c r="A1" s="18" t="str">
        <x:v>Canonical Primary/Adjudicated Score Checks</x:v>
      </x:c>
      <x:c r="B1" s="18"/>
      <x:c r="C1" s="18"/>
    </x:row>
    <x:row r="3">
      <x:c r="A3" s="22" t="str">
        <x:v>Check</x:v>
      </x:c>
      <x:c r="B3" s="22" t="str">
        <x:v>Calculated</x:v>
      </x:c>
      <x:c r="C3" s="22" t="str">
        <x:v>Expected</x:v>
      </x:c>
    </x:row>
    <x:row r="4">
      <x:c r="A4" s="23" t="str">
        <x:v>Benchmark count</x:v>
      </x:c>
      <x:c r="B4" s="23" t="n">
        <x:f>COUNTA('Primary Scores'!A2:A31)</x:f>
        <x:v>30</x:v>
      </x:c>
      <x:c r="C4" s="23" t="n">
        <x:v>30</x:v>
      </x:c>
    </x:row>
    <x:row r="5">
      <x:c r="A5" s="23" t="str">
        <x:v>Mean total</x:v>
      </x:c>
      <x:c r="B5" s="24" t="n">
        <x:f>AVERAGE('Primary Scores'!M2:M31)</x:f>
        <x:v>16.033333333333335</x:v>
      </x:c>
      <x:c r="C5" s="24" t="n">
        <x:v>16.03</x:v>
      </x:c>
    </x:row>
    <x:row r="6">
      <x:c r="A6" s="23" t="str">
        <x:v>Minimum total</x:v>
      </x:c>
      <x:c r="B6" s="23" t="n">
        <x:f>MIN('Primary Scores'!M2:M31)</x:f>
        <x:v>11</x:v>
      </x:c>
      <x:c r="C6" s="23" t="n">
        <x:v>11</x:v>
      </x:c>
    </x:row>
    <x:row r="7">
      <x:c r="A7" s="23" t="str">
        <x:v>Maximum total</x:v>
      </x:c>
      <x:c r="B7" s="23" t="n">
        <x:f>MAX('Primary Scores'!M2:M31)</x:f>
        <x:v>19</x:v>
      </x:c>
      <x:c r="C7" s="23" t="n">
        <x:v>19</x:v>
      </x:c>
    </x:row>
    <x:row r="8">
      <x:c r="A8" s="23" t="str">
        <x:v>AdvBench present</x:v>
      </x:c>
      <x:c r="B8" s="23" t="n">
        <x:f>COUNTIF('Primary Scores'!A2:A31,"AdvBench")</x:f>
        <x:v>1</x:v>
      </x:c>
      <x:c r="C8" s="23" t="n">
        <x:v>1</x:v>
      </x:c>
    </x:row>
    <x:row r="10" ht="48" customHeight="1">
      <x:c r="A10" s="19" t="str">
        <x:v>Source: Original Primary sheet in VerifyBench_Reproducible_Audit_Package_Full_Lenient.xlsx. This is the final primary/adjudicated layer, not the lenient or operationalized sensitivity layer.</x:v>
      </x:c>
      <x:c r="B10" s="19"/>
      <x:c r="C10" s="19"/>
    </x:row>
  </x:sheetData>
  <x:mergeCells>
    <x:mergeCell ref="A1:C1"/>
    <x:mergeCell ref="A10:C10"/>
  </x:mergeCells>
  <x:pageMargins left="0.7" right="0.7" top="0.75" bottom="0.75" header="0.3" footer="0.3"/>
</x:worksheet>
</file>