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bec7f6c18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62a3c282044842"/>
    <x:sheet xmlns:r="http://schemas.openxmlformats.org/officeDocument/2006/relationships" name="Final Dataset" sheetId="2" r:id="Rf8545da9071e4836"/>
    <x:sheet xmlns:r="http://schemas.openxmlformats.org/officeDocument/2006/relationships" name="Summary" sheetId="3" r:id="R88ce95ddd0de4144"/>
    <x:sheet xmlns:r="http://schemas.openxmlformats.org/officeDocument/2006/relationships" name="Dimension Summary" sheetId="4" r:id="Rcb8817ea6a584757"/>
    <x:sheet xmlns:r="http://schemas.openxmlformats.org/officeDocument/2006/relationships" name="Category Summary" sheetId="5" r:id="R9869ddea31a54958"/>
    <x:sheet xmlns:r="http://schemas.openxmlformats.org/officeDocument/2006/relationships" name="Top Bottom" sheetId="6" r:id="R5195644cb1884fb1"/>
    <x:sheet xmlns:r="http://schemas.openxmlformats.org/officeDocument/2006/relationships" name="Heatmap" sheetId="7" r:id="R259f672c24ea4bf0"/>
    <x:sheet xmlns:r="http://schemas.openxmlformats.org/officeDocument/2006/relationships" name="Findings Memo" sheetId="8" r:id="R8af12526971c4ea4"/>
    <x:sheet xmlns:r="http://schemas.openxmlformats.org/officeDocument/2006/relationships" name="Source Only" sheetId="9" r:id="Rc932406bf5b2423b"/>
    <x:sheet xmlns:r="http://schemas.openxmlformats.org/officeDocument/2006/relationships" name="Robustness Summary" sheetId="10" r:id="Ra5161f8efe66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11e9cf65745f6" /><Relationship Type="http://schemas.openxmlformats.org/officeDocument/2006/relationships/theme" Target="/xl/theme/theme1.xml" Id="Rc704668c65bb4dac" /><Relationship Type="http://schemas.openxmlformats.org/officeDocument/2006/relationships/sharedStrings" Target="/xl/sharedStrings.xml" Id="R03eef3e7b0ad4eba" /><Relationship Type="http://schemas.openxmlformats.org/officeDocument/2006/relationships/worksheet" Target="/xl/worksheets/sheet1.xml" Id="R7762a3c282044842" /><Relationship Type="http://schemas.openxmlformats.org/officeDocument/2006/relationships/worksheet" Target="/xl/worksheets/sheet2.xml" Id="Rf8545da9071e4836" /><Relationship Type="http://schemas.openxmlformats.org/officeDocument/2006/relationships/worksheet" Target="/xl/worksheets/sheet3.xml" Id="R88ce95ddd0de4144" /><Relationship Type="http://schemas.openxmlformats.org/officeDocument/2006/relationships/worksheet" Target="/xl/worksheets/sheet4.xml" Id="Rcb8817ea6a584757" /><Relationship Type="http://schemas.openxmlformats.org/officeDocument/2006/relationships/worksheet" Target="/xl/worksheets/sheet5.xml" Id="R9869ddea31a54958" /><Relationship Type="http://schemas.openxmlformats.org/officeDocument/2006/relationships/worksheet" Target="/xl/worksheets/sheet6.xml" Id="R5195644cb1884fb1" /><Relationship Type="http://schemas.openxmlformats.org/officeDocument/2006/relationships/worksheet" Target="/xl/worksheets/sheet7.xml" Id="R259f672c24ea4bf0" /><Relationship Type="http://schemas.openxmlformats.org/officeDocument/2006/relationships/worksheet" Target="/xl/worksheets/sheet8.xml" Id="R8af12526971c4ea4" /><Relationship Type="http://schemas.openxmlformats.org/officeDocument/2006/relationships/worksheet" Target="/xl/worksheets/sheet9.xml" Id="Rc932406bf5b2423b" /><Relationship Type="http://schemas.openxmlformats.org/officeDocument/2006/relationships/worksheet" Target="/xl/worksheets/sheet10.xml" Id="Ra5161f8efe6646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860416f87a43b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794da3d73434fd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caeab4fd871497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Benchmark Count</c:v>
          </c:tx>
          <c:cat>
            <c:strRef>
              <c:f>'Summary'!$A$14:$A$22</c:f>
              <c:strCache>
                <c:ptCount val="0"/>
              </c:strCache>
            </c:strRef>
          </c:cat>
          <c:val>
            <c:numRef>
              <c:f>'Summary'!$B$14:$B$22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Average Score</c:v>
          </c:tx>
          <c:cat>
            <c:strRef>
              <c:f>'Dimension Summary'!$A$2:$A$11</c:f>
              <c:strCache>
                <c:ptCount val="0"/>
              </c:strCache>
            </c:strRef>
          </c:cat>
          <c:val>
            <c:numRef>
              <c:f>'Dimension Summary'!$B$2:$B$11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Average Total Score</c:v>
          </c:tx>
          <c:cat>
            <c:strRef>
              <c:f>'Category Summary'!$A$2:$A$7</c:f>
              <c:strCache>
                <c:ptCount val="0"/>
              </c:strCache>
            </c:strRef>
          </c:cat>
          <c:val>
            <c:numRef>
              <c:f>'Category Summary'!$C$2:$C$7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860416f87a43b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94da3d73434f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aeab4fd87149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lAuditTable" displayName="FinalAuditTable" ref="A1:V31" headerRowCount="1">
  <x:tableColumns count="22">
    <x:tableColumn id="1" name="Benchmark"/>
    <x:tableColumn id="2" name="Category Group"/>
    <x:tableColumn id="3" name="Category"/>
    <x:tableColumn id="4" name="Main Claim"/>
    <x:tableColumn id="5" name="Sample Decision"/>
    <x:tableColumn id="6" name="Items Public"/>
    <x:tableColumn id="7" name="Labels Public"/>
    <x:tableColumn id="8" name="Scoring Method Public"/>
    <x:tableColumn id="9" name="Evaluation Code Public"/>
    <x:tableColumn id="10" name="Construct Defined"/>
    <x:tableColumn id="11" name="Coverage Documented"/>
    <x:tableColumn id="12" name="Annotation Process Clear"/>
    <x:tableColumn id="13" name="Limitations Stated"/>
    <x:tableColumn id="14" name="Versioning/Maintenance"/>
    <x:tableColumn id="15" name="License/Reuse Clear"/>
    <x:tableColumn id="16" name="Total Score"/>
    <x:tableColumn id="17" name="Confidence"/>
    <x:tableColumn id="18" name="Human Review Priority"/>
    <x:tableColumn id="19" name="Safe Handling"/>
    <x:tableColumn id="20" name="Source URLs"/>
    <x:tableColumn id="21" name="Evidence Notes"/>
    <x:tableColumn id="22" name="Use in Paper"/>
  </x:tableColumns>
  <x:tableStyleInfo name="TableStyleMedium2" showRowStripes="1"/>
</x:table>
</file>

<file path=xl/tables/table2.xml><?xml version="1.0" encoding="utf-8"?>
<x:table xmlns:x="http://schemas.openxmlformats.org/spreadsheetml/2006/main" id="2" name="DimensionSummaryTable" displayName="DimensionSummaryTable" ref="A1:G11" headerRowCount="1">
  <x:tableColumns count="7">
    <x:tableColumn id="1" name="Dimension"/>
    <x:tableColumn id="2" name="Average Score"/>
    <x:tableColumn id="3" name="Score=2 Count"/>
    <x:tableColumn id="4" name="Score=1 Count"/>
    <x:tableColumn id="5" name="Score=0 Count"/>
    <x:tableColumn id="6" name="Absent %"/>
    <x:tableColumn id="7" name="Missing/Partial %"/>
  </x:tableColumns>
  <x:tableStyleInfo name="TableStyleMedium2" showRowStripes="1"/>
</x:table>
</file>

<file path=xl/tables/table3.xml><?xml version="1.0" encoding="utf-8"?>
<x:table xmlns:x="http://schemas.openxmlformats.org/spreadsheetml/2006/main" id="3" name="CategorySummaryTable" displayName="CategorySummaryTable" ref="A1:F7" headerRowCount="1">
  <x:tableColumns count="6">
    <x:tableColumn id="1" name="Category Group"/>
    <x:tableColumn id="2" name="Benchmark Count"/>
    <x:tableColumn id="3" name="Average Total Score"/>
    <x:tableColumn id="4" name="Median"/>
    <x:tableColumn id="5" name="Min"/>
    <x:tableColumn id="6" name="Max"/>
  </x:tableColumns>
  <x:tableStyleInfo name="TableStyleMedium2" showRowStripes="1"/>
</x:table>
</file>

<file path=xl/tables/table4.xml><?xml version="1.0" encoding="utf-8"?>
<x:table xmlns:x="http://schemas.openxmlformats.org/spreadsheetml/2006/main" id="4" name="TopBottomTable" displayName="TopBottomTable" ref="A1:E11" headerRowCount="1">
  <x:tableColumns count="5">
    <x:tableColumn id="1" name="Rank"/>
    <x:tableColumn id="2" name="Benchmark"/>
    <x:tableColumn id="3" name="Category Group"/>
    <x:tableColumn id="4" name="Total Score"/>
    <x:tableColumn id="5" name="Group"/>
  </x:tableColumns>
  <x:tableStyleInfo name="TableStyleMedium2" showRowStripes="1"/>
</x:table>
</file>

<file path=xl/tables/table5.xml><?xml version="1.0" encoding="utf-8"?>
<x:table xmlns:x="http://schemas.openxmlformats.org/spreadsheetml/2006/main" id="5" name="HeatmapTable" displayName="HeatmapTable" ref="A1:M31" headerRowCount="1">
  <x:tableColumns count="13">
    <x:tableColumn id="1" name="Benchmark"/>
    <x:tableColumn id="2" name="Category Group"/>
    <x:tableColumn id="3" name="Items Public"/>
    <x:tableColumn id="4" name="Labels Public"/>
    <x:tableColumn id="5" name="Scoring Method Public"/>
    <x:tableColumn id="6" name="Evaluation Code Public"/>
    <x:tableColumn id="7" name="Construct Defined"/>
    <x:tableColumn id="8" name="Coverage Documented"/>
    <x:tableColumn id="9" name="Annotation Process Clear"/>
    <x:tableColumn id="10" name="Limitations Stated"/>
    <x:tableColumn id="11" name="Versioning/Maintenance"/>
    <x:tableColumn id="12" name="License/Reuse Clear"/>
    <x:tableColumn id="13" name="Total 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fd626d51a40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32a49350c4248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a8966cad9e54031" /><Relationship Type="http://schemas.openxmlformats.org/officeDocument/2006/relationships/table" Target="/xl/tables/table2.xml" Id="Rfb6750cb6ab043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0250b7e6b3f74869" /><Relationship Type="http://schemas.openxmlformats.org/officeDocument/2006/relationships/table" Target="/xl/tables/table3.xml" Id="R7559640bd25740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1c2bd372b0341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41127530e7d4b3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16.799999237060547" hidden="0" customHeight="1">
      <x:c r="A1" s="12" t="str">
        <x:v>VerifyBench Analysis Package</x:v>
      </x:c>
      <x:c r="B1" s="12"/>
    </x:row>
    <x:row r="2" ht="15" hidden="0" customHeight="1">
      <x:c r="A2" s="38" t="str">
        <x:v>Generated</x:v>
      </x:c>
      <x:c r="B2" s="20" t="str">
        <x:v>2026-08-13 (repository-cleaned version)</x:v>
      </x:c>
    </x:row>
    <x:row r="3" ht="15" hidden="0" customHeight="1">
      <x:c r="A3" s="37" t="str">
        <x:v>Project</x:v>
      </x:c>
      <x:c r="B3" s="20" t="str">
        <x:v>Public-verifiability audit of responsible-AI benchmarks for foundation models.</x:v>
      </x:c>
    </x:row>
    <x:row r="4" ht="15" hidden="0" customHeight="1">
      <x:c r="A4" s="37" t="str">
        <x:v>Analysis sample</x:v>
      </x:c>
      <x:c r="B4" s="20" t="str">
        <x:v>30 included benchmarks; SafetyPrompts kept as Source Only.</x:v>
      </x:c>
    </x:row>
    <x:row r="5" ht="39.599998474121094" hidden="0" customHeight="1">
      <x:c r="A5" s="37" t="str">
        <x:v>Reliability summary</x:v>
      </x:c>
      <x:c r="B5" s="20" t="str">
        <x:v>Primary reliability: 15 benchmarks double-coded; 150 rubric cells; 76.0% exact agreement; Cohen's kappa = 0.490; linear-weighted kappa = 0.508. Operationalized reliability on the same subset: 78.0% exact agreement; Cohen's kappa = 0.574; linear-weighted kappa = 0.574.</x:v>
      </x:c>
    </x:row>
    <x:row r="6" ht="26.399999618530273" hidden="0" customHeight="1">
      <x:c r="A6" s="37" t="str">
        <x:v>Adjudication</x:v>
      </x:c>
      <x:c r="B6" s="20" t="str">
        <x:v>Primary disagreements on the reliability subset were reviewed and adjudicated; the final adjudicated primary values are the source of truth for the primary 30x10 dataset.</x:v>
      </x:c>
    </x:row>
    <x:row r="7" ht="26.399999618530273" hidden="0" customHeight="1">
      <x:c r="A7" s="37" t="str">
        <x:v>Scoring scale</x:v>
      </x:c>
      <x:c r="B7" s="20" t="str">
        <x:v>Primary scoring scale: 0 = absent/not discoverable; 1 = partial/indirect/incomplete; 2 = sufficiently supported under the primary full-credit criterion. Maximum total score = 20.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0" hidden="0" customWidth="1"/>
    <x:col min="4" max="4" width="50" hidden="0" customWidth="1"/>
    <x:col min="5" max="5" width="14" hidden="0" customWidth="1"/>
    <x:col min="16" max="16" width="12" hidden="0" customWidth="1"/>
    <x:col min="17" max="17" width="16" hidden="0" customWidth="1"/>
    <x:col min="18" max="18" width="18" hidden="0" customWidth="1"/>
    <x:col min="19" max="19" width="28" hidden="0" customWidth="1"/>
    <x:col min="20" max="20" width="60" hidden="0" customWidth="1"/>
    <x:col min="21" max="21" width="60" hidden="0" customWidth="1"/>
    <x:col min="22" max="22" width="40" hidden="0" customWidth="1"/>
  </x:cols>
  <x:sheetData>
    <x:row r="1">
      <x:c r="A1" s="16" t="str">
        <x:v>Benchmark</x:v>
      </x:c>
      <x:c r="B1" s="16" t="str">
        <x:v>Category Group</x:v>
      </x:c>
      <x:c r="C1" s="16" t="str">
        <x:v>Category</x:v>
      </x:c>
      <x:c r="D1" s="16" t="str">
        <x:v>Main Claim</x:v>
      </x:c>
      <x:c r="E1" s="16" t="str">
        <x:v>Sample Decision</x:v>
      </x:c>
      <x:c r="F1" s="16" t="str">
        <x:v>Items Public</x:v>
      </x:c>
      <x:c r="G1" s="16" t="str">
        <x:v>Labels Public</x:v>
      </x:c>
      <x:c r="H1" s="16" t="str">
        <x:v>Scoring Method Public</x:v>
      </x:c>
      <x:c r="I1" s="16" t="str">
        <x:v>Evaluation Code Public</x:v>
      </x:c>
      <x:c r="J1" s="16" t="str">
        <x:v>Construct Defined</x:v>
      </x:c>
      <x:c r="K1" s="16" t="str">
        <x:v>Coverage Documented</x:v>
      </x:c>
      <x:c r="L1" s="16" t="str">
        <x:v>Annotation Process Clear</x:v>
      </x:c>
      <x:c r="M1" s="16" t="str">
        <x:v>Limitations Stated</x:v>
      </x:c>
      <x:c r="N1" s="16" t="str">
        <x:v>Versioning/Maintenance</x:v>
      </x:c>
      <x:c r="O1" s="16" t="str">
        <x:v>License/Reuse Clear</x:v>
      </x:c>
      <x:c r="P1" s="16" t="str">
        <x:v>Total Score</x:v>
      </x:c>
      <x:c r="Q1" s="16" t="str">
        <x:v>Confidence</x:v>
      </x:c>
      <x:c r="R1" s="16" t="str">
        <x:v>Human Review Priority</x:v>
      </x:c>
      <x:c r="S1" s="16" t="str">
        <x:v>Safe Handling</x:v>
      </x:c>
      <x:c r="T1" s="16" t="str">
        <x:v>Source URLs</x:v>
      </x:c>
      <x:c r="U1" s="16" t="str">
        <x:v>Evidence Notes</x:v>
      </x:c>
      <x:c r="V1" s="16" t="str">
        <x:v>Use in Paper</x:v>
      </x:c>
    </x:row>
    <x:row r="2">
      <x:c r="A2" s="20" t="str">
        <x:v>HELM</x:v>
      </x:c>
      <x:c r="B2" s="20" t="str">
        <x:v>Holistic / trustworthiness</x:v>
      </x:c>
      <x:c r="C2" s="20" t="str">
        <x:v>Holistic / transparency</x:v>
      </x:c>
      <x:c r="D2" s="20" t="str">
        <x:v>Holistic language-model evaluation across scenarios, metrics, and transparent...</x:v>
      </x:c>
      <x:c r="E2" s="20" t="str">
        <x:v>Include</x:v>
      </x:c>
      <x:c r="F2" s="22" t="n">
        <x:v>2</x:v>
      </x:c>
      <x:c r="G2" s="22" t="n">
        <x:v>2</x:v>
      </x:c>
      <x:c r="H2" s="22" t="n">
        <x:v>2</x:v>
      </x:c>
      <x:c r="I2" s="22" t="n">
        <x:v>2</x:v>
      </x:c>
      <x:c r="J2" s="22" t="n">
        <x:v>2</x:v>
      </x:c>
      <x:c r="K2" s="22" t="n">
        <x:v>2</x:v>
      </x:c>
      <x:c r="L2" s="22" t="n">
        <x:v>1</x:v>
      </x:c>
      <x:c r="M2" s="22" t="n">
        <x:v>2</x:v>
      </x:c>
      <x:c r="N2" s="22" t="n">
        <x:v>2</x:v>
      </x:c>
      <x:c r="O2" s="22" t="n">
        <x:v>2</x:v>
      </x:c>
      <x:c r="P2" s="20" t="n">
        <x:v>19</x:v>
      </x:c>
      <x:c r="Q2" s="20" t="str">
        <x:v>High</x:v>
      </x:c>
      <x:c r="R2" s="20" t="str">
        <x:v>Low</x:v>
      </x:c>
      <x:c r="S2" s="20" t="str">
        <x:v>Standard metadata + public evaluation docs.</x:v>
      </x:c>
      <x:c r="T2" s="20" t="str">
        <x:v>https://github.com/stanford-crfm/helm ; https://arxiv.org/abs/2211.09110 ; ht...</x:v>
      </x:c>
      <x:c r="U2" s="20" t="str">
        <x:v>Open-source framework; raw prompts/completions and modular tooling publicly d...</x:v>
      </x:c>
      <x:c r="V2" s="20" t="str">
        <x:v>High-verifiability reference case.</x:v>
      </x:c>
    </x:row>
    <x:row r="3">
      <x:c r="A3" s="20" t="str">
        <x:v>VHELM</x:v>
      </x:c>
      <x:c r="B3" s="20" t="str">
        <x:v>Holistic / trustworthiness</x:v>
      </x:c>
      <x:c r="C3" s="20" t="str">
        <x:v>Holistic / multimodal / transparency</x:v>
      </x:c>
      <x:c r="D3" s="20" t="str">
        <x:v>Extends HELM-style holistic evaluation to vision-language models across multi...</x:v>
      </x:c>
      <x:c r="E3" s="20" t="str">
        <x:v>Include</x:v>
      </x:c>
      <x:c r="F3" s="22" t="n">
        <x:v>2</x:v>
      </x:c>
      <x:c r="G3" s="22" t="n">
        <x:v>2</x:v>
      </x:c>
      <x:c r="H3" s="22" t="n">
        <x:v>2</x:v>
      </x:c>
      <x:c r="I3" s="22" t="n">
        <x:v>2</x:v>
      </x:c>
      <x:c r="J3" s="22" t="n">
        <x:v>2</x:v>
      </x:c>
      <x:c r="K3" s="22" t="n">
        <x:v>2</x:v>
      </x:c>
      <x:c r="L3" s="22" t="n">
        <x:v>1</x:v>
      </x:c>
      <x:c r="M3" s="22" t="n">
        <x:v>2</x:v>
      </x:c>
      <x:c r="N3" s="22" t="n">
        <x:v>2</x:v>
      </x:c>
      <x:c r="O3" s="22" t="n">
        <x:v>2</x:v>
      </x:c>
      <x:c r="P3" s="20" t="n">
        <x:v>19</x:v>
      </x:c>
      <x:c r="Q3" s="20" t="str">
        <x:v>Medium</x:v>
      </x:c>
      <x:c r="R3" s="20" t="str">
        <x:v>Medium</x:v>
      </x:c>
      <x:c r="S3" s="20" t="str">
        <x:v>Standard metadata; avoid inspecting any sensitive raw generations.</x:v>
      </x:c>
      <x:c r="T3" s="20" t="str">
        <x:v>https://arxiv.org/abs/2410.07112 ; https://crfm.stanford.edu/helm/vhelm</x:v>
      </x:c>
      <x:c r="U3" s="20" t="str">
        <x:v>Paper says raw generations/results are released and benchmark is intended as ...</x:v>
      </x:c>
      <x:c r="V3" s="20" t="str">
        <x:v>Second high-verifiability reference case; useful for comparing holistic suite...</x:v>
      </x:c>
    </x:row>
    <x:row r="4">
      <x:c r="A4" s="20" t="str">
        <x:v>BBQ</x:v>
      </x:c>
      <x:c r="B4" s="20" t="str">
        <x:v>Bias / fairness</x:v>
      </x:c>
      <x:c r="C4" s="20" t="str">
        <x:v>Bias / fairness / QA</x:v>
      </x:c>
      <x:c r="D4" s="20" t="str">
        <x:v>Measures social bias in question answering under ambiguous and disambiguated ...</x:v>
      </x:c>
      <x:c r="E4" s="20" t="str">
        <x:v>Include</x:v>
      </x:c>
      <x:c r="F4" s="22" t="n">
        <x:v>2</x:v>
      </x:c>
      <x:c r="G4" s="22" t="n">
        <x:v>2</x:v>
      </x:c>
      <x:c r="H4" s="22" t="n">
        <x:v>2</x:v>
      </x:c>
      <x:c r="I4" s="22" t="n">
        <x:v>1</x:v>
      </x:c>
      <x:c r="J4" s="22" t="n">
        <x:v>2</x:v>
      </x:c>
      <x:c r="K4" s="22" t="n">
        <x:v>2</x:v>
      </x:c>
      <x:c r="L4" s="22" t="n">
        <x:v>1</x:v>
      </x:c>
      <x:c r="M4" s="22" t="n">
        <x:v>2</x:v>
      </x:c>
      <x:c r="N4" s="22" t="n">
        <x:v>1</x:v>
      </x:c>
      <x:c r="O4" s="22" t="n">
        <x:v>1</x:v>
      </x:c>
      <x:c r="P4" s="20" t="n">
        <x:v>16</x:v>
      </x:c>
      <x:c r="Q4" s="20" t="str">
        <x:v>High</x:v>
      </x:c>
      <x:c r="R4" s="20" t="str">
        <x:v>Low</x:v>
      </x:c>
      <x:c r="S4" s="20" t="str">
        <x:v>Standard metadata; no need to quote examples.</x:v>
      </x:c>
      <x:c r="T4" s="20" t="str">
        <x:v>https://github.com/nyu-mll/BBQ ; https://aclanthology.org/2022.findings-acl.165/</x:v>
      </x:c>
      <x:c r="U4" s="20" t="str">
        <x:v>Nine social dimensions and U.S. English-speaking scope documented; code/tooli...</x:v>
      </x:c>
      <x:c r="V4" s="20" t="str">
        <x:v>Strong bias benchmark case with explicit coverage limitations.</x:v>
      </x:c>
    </x:row>
    <x:row r="5">
      <x:c r="A5" s="20" t="str">
        <x:v>TruthfulQA</x:v>
      </x:c>
      <x:c r="B5" s="20" t="str">
        <x:v>Truthfulness / hallucination</x:v>
      </x:c>
      <x:c r="C5" s="20" t="str">
        <x:v>Truthfulness / misinformation / QA</x:v>
      </x:c>
      <x:c r="D5" s="20" t="str">
        <x:v>Measures whether language models answer truthfully rather than imitating comm...</x:v>
      </x:c>
      <x:c r="E5" s="20" t="str">
        <x:v>Include</x:v>
      </x:c>
      <x:c r="F5" s="22" t="n">
        <x:v>2</x:v>
      </x:c>
      <x:c r="G5" s="22" t="n">
        <x:v>2</x:v>
      </x:c>
      <x:c r="H5" s="22" t="n">
        <x:v>2</x:v>
      </x:c>
      <x:c r="I5" s="22" t="n">
        <x:v>2</x:v>
      </x:c>
      <x:c r="J5" s="22" t="n">
        <x:v>2</x:v>
      </x:c>
      <x:c r="K5" s="22" t="n">
        <x:v>2</x:v>
      </x:c>
      <x:c r="L5" s="22" t="n">
        <x:v>1</x:v>
      </x:c>
      <x:c r="M5" s="22" t="n">
        <x:v>1</x:v>
      </x:c>
      <x:c r="N5" s="22" t="n">
        <x:v>2</x:v>
      </x:c>
      <x:c r="O5" s="22" t="n">
        <x:v>1</x:v>
      </x:c>
      <x:c r="P5" s="20" t="n">
        <x:v>17</x:v>
      </x:c>
      <x:c r="Q5" s="20" t="str">
        <x:v>High</x:v>
      </x:c>
      <x:c r="R5" s="20" t="str">
        <x:v>Low</x:v>
      </x:c>
      <x:c r="S5" s="20" t="str">
        <x:v>Standard metadata.</x:v>
      </x:c>
      <x:c r="T5" s="20" t="str">
        <x:v>https://github.com/sylinrl/TruthfulQA ; https://arxiv.org/abs/2109.07958 ; ht...</x:v>
      </x:c>
      <x:c r="U5" s="20" t="str">
        <x:v>Questions/reference answers and code are public; 817 questions across 38 cate...</x:v>
      </x:c>
      <x:c r="V5" s="20" t="str">
        <x:v>Truthfulness benchmark reference.</x:v>
      </x:c>
    </x:row>
    <x:row r="6">
      <x:c r="A6" s="20" t="str">
        <x:v>RealToxicityPrompts</x:v>
      </x:c>
      <x:c r="B6" s="20" t="str">
        <x:v>Toxicity / hate</x:v>
      </x:c>
      <x:c r="C6" s="20" t="str">
        <x:v>Toxicity / generation safety</x:v>
      </x:c>
      <x:c r="D6" s="20" t="str">
        <x:v>Evaluates likelihood of toxic model continuations from naturally occurring we...</x:v>
      </x:c>
      <x:c r="E6" s="20" t="str">
        <x:v>Include</x:v>
      </x:c>
      <x:c r="F6" s="22" t="n">
        <x:v>2</x:v>
      </x:c>
      <x:c r="G6" s="22" t="n">
        <x:v>2</x:v>
      </x:c>
      <x:c r="H6" s="22" t="n">
        <x:v>2</x:v>
      </x:c>
      <x:c r="I6" s="22" t="n">
        <x:v>2</x:v>
      </x:c>
      <x:c r="J6" s="22" t="n">
        <x:v>2</x:v>
      </x:c>
      <x:c r="K6" s="22" t="n">
        <x:v>1</x:v>
      </x:c>
      <x:c r="L6" s="22" t="n">
        <x:v>1</x:v>
      </x:c>
      <x:c r="M6" s="22" t="n">
        <x:v>2</x:v>
      </x:c>
      <x:c r="N6" s="22" t="n">
        <x:v>1</x:v>
      </x:c>
      <x:c r="O6" s="22" t="n">
        <x:v>1</x:v>
      </x:c>
      <x:c r="P6" s="20" t="n">
        <x:v>16</x:v>
      </x:c>
      <x:c r="Q6" s="20" t="str">
        <x:v>High</x:v>
      </x:c>
      <x:c r="R6" s="20" t="str">
        <x:v>Medium</x:v>
      </x:c>
      <x:c r="S6" s="20" t="str">
        <x:v>Do not quote toxic examples; metadata only.</x:v>
      </x:c>
      <x:c r="T6" s="20" t="str">
        <x:v>https://huggingface.co/datasets/allenai/real-toxicity-prompts ; https://githu...</x:v>
      </x:c>
      <x:c r="U6" s="20" t="str">
        <x:v>100K English web-text prompts; public scoring uses Perspective API, which rai...</x:v>
      </x:c>
      <x:c r="V6" s="20" t="str">
        <x:v>Good case for black-box scorer/verifiability issue.</x:v>
      </x:c>
    </x:row>
    <x:row r="7">
      <x:c r="A7" s="20" t="str">
        <x:v>StereoSet</x:v>
      </x:c>
      <x:c r="B7" s="20" t="str">
        <x:v>Bias / fairness</x:v>
      </x:c>
      <x:c r="C7" s="20" t="str">
        <x:v>Stereotype bias</x:v>
      </x:c>
      <x:c r="D7" s="20" t="str">
        <x:v>Measures stereotypical bias in pretrained language models while contrasting b...</x:v>
      </x:c>
      <x:c r="E7" s="20" t="str">
        <x:v>Include</x:v>
      </x:c>
      <x:c r="F7" s="22" t="n">
        <x:v>2</x:v>
      </x:c>
      <x:c r="G7" s="22" t="n">
        <x:v>2</x:v>
      </x:c>
      <x:c r="H7" s="22" t="n">
        <x:v>2</x:v>
      </x:c>
      <x:c r="I7" s="22" t="n">
        <x:v>2</x:v>
      </x:c>
      <x:c r="J7" s="22" t="n">
        <x:v>2</x:v>
      </x:c>
      <x:c r="K7" s="22" t="n">
        <x:v>2</x:v>
      </x:c>
      <x:c r="L7" s="22" t="n">
        <x:v>1</x:v>
      </x:c>
      <x:c r="M7" s="22" t="n">
        <x:v>1</x:v>
      </x:c>
      <x:c r="N7" s="22" t="n">
        <x:v>1</x:v>
      </x:c>
      <x:c r="O7" s="22" t="n">
        <x:v>1</x:v>
      </x:c>
      <x:c r="P7" s="20" t="n">
        <x:v>16</x:v>
      </x:c>
      <x:c r="Q7" s="20" t="str">
        <x:v>High</x:v>
      </x:c>
      <x:c r="R7" s="20" t="str">
        <x:v>Low</x:v>
      </x:c>
      <x:c r="S7" s="20" t="str">
        <x:v>Standard metadata.</x:v>
      </x:c>
      <x:c r="T7" s="20" t="str">
        <x:v>https://github.com/moinnadeem/StereoSet ; https://aclanthology.org/2021.acl-l...</x:v>
      </x:c>
      <x:c r="U7" s="20" t="str">
        <x:v>Large-scale English dataset across gender, profession, race, and religion; co...</x:v>
      </x:c>
      <x:c r="V7" s="20" t="str">
        <x:v>Classic stereotype-bias benchmark.</x:v>
      </x:c>
    </x:row>
    <x:row r="8">
      <x:c r="A8" s="20" t="str">
        <x:v>CrowS-Pairs</x:v>
      </x:c>
      <x:c r="B8" s="20" t="str">
        <x:v>Bias / fairness</x:v>
      </x:c>
      <x:c r="C8" s="20" t="str">
        <x:v>Stereotype bias</x:v>
      </x:c>
      <x:c r="D8" s="20" t="str">
        <x:v>Measures stereotypical bias in masked language models using paired sentences ...</x:v>
      </x:c>
      <x:c r="E8" s="20" t="str">
        <x:v>Include</x:v>
      </x:c>
      <x:c r="F8" s="22" t="n">
        <x:v>2</x:v>
      </x:c>
      <x:c r="G8" s="22" t="n">
        <x:v>2</x:v>
      </x:c>
      <x:c r="H8" s="22" t="n">
        <x:v>2</x:v>
      </x:c>
      <x:c r="I8" s="22" t="n">
        <x:v>1</x:v>
      </x:c>
      <x:c r="J8" s="22" t="n">
        <x:v>2</x:v>
      </x:c>
      <x:c r="K8" s="22" t="n">
        <x:v>2</x:v>
      </x:c>
      <x:c r="L8" s="22" t="n">
        <x:v>1</x:v>
      </x:c>
      <x:c r="M8" s="22" t="n">
        <x:v>1</x:v>
      </x:c>
      <x:c r="N8" s="22" t="n">
        <x:v>1</x:v>
      </x:c>
      <x:c r="O8" s="22" t="n">
        <x:v>1</x:v>
      </x:c>
      <x:c r="P8" s="20" t="n">
        <x:v>15</x:v>
      </x:c>
      <x:c r="Q8" s="20" t="str">
        <x:v>High</x:v>
      </x:c>
      <x:c r="R8" s="20" t="str">
        <x:v>Low</x:v>
      </x:c>
      <x:c r="S8" s="20" t="str">
        <x:v>Standard metadata; avoid quoting sensitive pairs.</x:v>
      </x:c>
      <x:c r="T8" s="20" t="str">
        <x:v>https://github.com/nyu-mll/crows-pairs ; https://aclanthology.org/2020.emnlp-...</x:v>
      </x:c>
      <x:c r="U8" s="20" t="str">
        <x:v>Public challenge set with 1,508 examples across nine bias types; evaluation c...</x:v>
      </x:c>
      <x:c r="V8" s="20" t="str">
        <x:v>Classic social-bias benchmark.</x:v>
      </x:c>
    </x:row>
    <x:row r="9">
      <x:c r="A9" s="20" t="str">
        <x:v>BOLD</x:v>
      </x:c>
      <x:c r="B9" s="20" t="str">
        <x:v>Bias / fairness</x:v>
      </x:c>
      <x:c r="C9" s="20" t="str">
        <x:v>Bias / open-ended generation</x:v>
      </x:c>
      <x:c r="D9" s="20" t="str">
        <x:v>Evaluates fairness and social bias in open-ended language generation prompts.</x:v>
      </x:c>
      <x:c r="E9" s="20" t="str">
        <x:v>Include</x:v>
      </x:c>
      <x:c r="F9" s="22" t="n">
        <x:v>2</x:v>
      </x:c>
      <x:c r="G9" s="22" t="n">
        <x:v>2</x:v>
      </x:c>
      <x:c r="H9" s="22" t="n">
        <x:v>2</x:v>
      </x:c>
      <x:c r="I9" s="22" t="n">
        <x:v>1</x:v>
      </x:c>
      <x:c r="J9" s="22" t="n">
        <x:v>2</x:v>
      </x:c>
      <x:c r="K9" s="22" t="n">
        <x:v>2</x:v>
      </x:c>
      <x:c r="L9" s="22" t="n">
        <x:v>1</x:v>
      </x:c>
      <x:c r="M9" s="22" t="n">
        <x:v>1</x:v>
      </x:c>
      <x:c r="N9" s="22" t="n">
        <x:v>1</x:v>
      </x:c>
      <x:c r="O9" s="22" t="n">
        <x:v>1</x:v>
      </x:c>
      <x:c r="P9" s="20" t="n">
        <x:v>15</x:v>
      </x:c>
      <x:c r="Q9" s="20" t="str">
        <x:v>High</x:v>
      </x:c>
      <x:c r="R9" s="20" t="str">
        <x:v>Low</x:v>
      </x:c>
      <x:c r="S9" s="20" t="str">
        <x:v>Standard metadata.</x:v>
      </x:c>
      <x:c r="T9" s="20" t="str">
        <x:v>https://github.com/amazon-science/bold ; https://www.amazon.science/code-and-...</x:v>
      </x:c>
      <x:c r="U9" s="20" t="str">
        <x:v>23,679 English prompts across profession, gender, race, religion, and politic...</x:v>
      </x:c>
      <x:c r="V9" s="20" t="str">
        <x:v>Open-ended generation fairness benchmark.</x:v>
      </x:c>
    </x:row>
    <x:row r="10">
      <x:c r="A10" s="20" t="str">
        <x:v>ToxiGen</x:v>
      </x:c>
      <x:c r="B10" s="20" t="str">
        <x:v>Toxicity / hate</x:v>
      </x:c>
      <x:c r="C10" s="20" t="str">
        <x:v>Hate / toxicity</x:v>
      </x:c>
      <x:c r="D10" s="20" t="str">
        <x:v>Evaluates and supports detection of adversarial and implicit hate speech.</x:v>
      </x:c>
      <x:c r="E10" s="20" t="str">
        <x:v>Include</x:v>
      </x:c>
      <x:c r="F10" s="22" t="n">
        <x:v>2</x:v>
      </x:c>
      <x:c r="G10" s="22" t="n">
        <x:v>2</x:v>
      </x:c>
      <x:c r="H10" s="22" t="n">
        <x:v>2</x:v>
      </x:c>
      <x:c r="I10" s="22" t="n">
        <x:v>2</x:v>
      </x:c>
      <x:c r="J10" s="22" t="n">
        <x:v>2</x:v>
      </x:c>
      <x:c r="K10" s="22" t="n">
        <x:v>2</x:v>
      </x:c>
      <x:c r="L10" s="22" t="n">
        <x:v>2</x:v>
      </x:c>
      <x:c r="M10" s="22" t="n">
        <x:v>1</x:v>
      </x:c>
      <x:c r="N10" s="22" t="n">
        <x:v>1</x:v>
      </x:c>
      <x:c r="O10" s="22" t="n">
        <x:v>1</x:v>
      </x:c>
      <x:c r="P10" s="20" t="n">
        <x:v>17</x:v>
      </x:c>
      <x:c r="Q10" s="20" t="str">
        <x:v>High</x:v>
      </x:c>
      <x:c r="R10" s="20" t="str">
        <x:v>Medium</x:v>
      </x:c>
      <x:c r="S10" s="20" t="str">
        <x:v>Do not quote examples; metadata only.</x:v>
      </x:c>
      <x:c r="T10" s="20" t="str">
        <x:v>https://github.com/microsoft/ToxiGen ; https://aclanthology.org/2022.acl-long...</x:v>
      </x:c>
      <x:c r="U10" s="20" t="str">
        <x:v>274K toxic/benign statements about 13 minority groups; includes human evaluat...</x:v>
      </x:c>
      <x:c r="V10" s="20" t="str">
        <x:v>Good case for coverage documentation and synthetic-data provenance.</x:v>
      </x:c>
    </x:row>
    <x:row r="11">
      <x:c r="A11" s="20" t="str">
        <x:v>HateCheck</x:v>
      </x:c>
      <x:c r="B11" s="20" t="str">
        <x:v>Toxicity / hate</x:v>
      </x:c>
      <x:c r="C11" s="20" t="str">
        <x:v>Hate-speech functionality tests</x:v>
      </x:c>
      <x:c r="D11" s="20" t="str">
        <x:v>Diagnostic functional tests for hate-speech detection models.</x:v>
      </x:c>
      <x:c r="E11" s="20" t="str">
        <x:v>Include</x:v>
      </x:c>
      <x:c r="F11" s="22" t="n">
        <x:v>2</x:v>
      </x:c>
      <x:c r="G11" s="22" t="n">
        <x:v>2</x:v>
      </x:c>
      <x:c r="H11" s="22" t="n">
        <x:v>2</x:v>
      </x:c>
      <x:c r="I11" s="22" t="n">
        <x:v>2</x:v>
      </x:c>
      <x:c r="J11" s="22" t="n">
        <x:v>2</x:v>
      </x:c>
      <x:c r="K11" s="22" t="n">
        <x:v>2</x:v>
      </x:c>
      <x:c r="L11" s="22" t="n">
        <x:v>2</x:v>
      </x:c>
      <x:c r="M11" s="22" t="n">
        <x:v>2</x:v>
      </x:c>
      <x:c r="N11" s="22" t="n">
        <x:v>1</x:v>
      </x:c>
      <x:c r="O11" s="22" t="n">
        <x:v>2</x:v>
      </x:c>
      <x:c r="P11" s="20" t="n">
        <x:v>19</x:v>
      </x:c>
      <x:c r="Q11" s="20" t="str">
        <x:v>High</x:v>
      </x:c>
      <x:c r="R11" s="20" t="str">
        <x:v>Medium</x:v>
      </x:c>
      <x:c r="S11" s="20" t="str">
        <x:v>Do not quote test cases; metadata only.</x:v>
      </x:c>
      <x:c r="T11" s="20" t="str">
        <x:v>https://github.com/paul-rottger/hatecheck-data ; https://aclanthology.org/202...</x:v>
      </x:c>
      <x:c r="U11" s="20" t="str">
        <x:v>29 functionality tests, stakeholder interviews, structured annotation and val...</x:v>
      </x:c>
      <x:c r="V11" s="20" t="str">
        <x:v>High-verifiability diagnostic benchmark.</x:v>
      </x:c>
    </x:row>
    <x:row r="12">
      <x:c r="A12" s="20" t="str">
        <x:v>ToxicChat</x:v>
      </x:c>
      <x:c r="B12" s="20" t="str">
        <x:v>Toxicity / hate</x:v>
      </x:c>
      <x:c r="C12" s="20" t="str">
        <x:v>Toxicity / chat prompts</x:v>
      </x:c>
      <x:c r="D12" s="20" t="str">
        <x:v>Toxicity annotations for user prompts from a public chatbot demo.</x:v>
      </x:c>
      <x:c r="E12" s="20" t="str">
        <x:v>Include</x:v>
      </x:c>
      <x:c r="F12" s="22" t="n">
        <x:v>2</x:v>
      </x:c>
      <x:c r="G12" s="22" t="n">
        <x:v>2</x:v>
      </x:c>
      <x:c r="H12" s="22" t="n">
        <x:v>2</x:v>
      </x:c>
      <x:c r="I12" s="22" t="n">
        <x:v>1</x:v>
      </x:c>
      <x:c r="J12" s="22" t="n">
        <x:v>2</x:v>
      </x:c>
      <x:c r="K12" s="22" t="n">
        <x:v>1</x:v>
      </x:c>
      <x:c r="L12" s="22" t="n">
        <x:v>2</x:v>
      </x:c>
      <x:c r="M12" s="22" t="n">
        <x:v>1</x:v>
      </x:c>
      <x:c r="N12" s="22" t="n">
        <x:v>1</x:v>
      </x:c>
      <x:c r="O12" s="22" t="n">
        <x:v>1</x:v>
      </x:c>
      <x:c r="P12" s="20" t="n">
        <x:v>15</x:v>
      </x:c>
      <x:c r="Q12" s="20" t="str">
        <x:v>Medium</x:v>
      </x:c>
      <x:c r="R12" s="20" t="str">
        <x:v>Medium</x:v>
      </x:c>
      <x:c r="S12" s="20" t="str">
        <x:v>Do not quote user prompts; metadata only.</x:v>
      </x:c>
      <x:c r="T12" s="20" t="str">
        <x:v>https://huggingface.co/datasets/lmsys/toxic-chat</x:v>
      </x:c>
      <x:c r="U12" s="20" t="str">
        <x:v>10K prompts with human-AI collaborative annotations; coverage documentation a...</x:v>
      </x:c>
      <x:c r="V12" s="20" t="str">
        <x:v>Modern prompt-toxicity dataset with annotation method.</x:v>
      </x:c>
    </x:row>
    <x:row r="13">
      <x:c r="A13" s="20" t="str">
        <x:v>XSTest</x:v>
      </x:c>
      <x:c r="B13" s="20" t="str">
        <x:v>Safety / harmfulness</x:v>
      </x:c>
      <x:c r="C13" s="20" t="str">
        <x:v>Safety / over-refusal</x:v>
      </x:c>
      <x:c r="D13" s="20" t="str">
        <x:v>Identifies exaggerated safety behavior by testing benign prompts that should ...</x:v>
      </x:c>
      <x:c r="E13" s="20" t="str">
        <x:v>Include</x:v>
      </x:c>
      <x:c r="F13" s="22" t="n">
        <x:v>2</x:v>
      </x:c>
      <x:c r="G13" s="22" t="n">
        <x:v>2</x:v>
      </x:c>
      <x:c r="H13" s="22" t="n">
        <x:v>2</x:v>
      </x:c>
      <x:c r="I13" s="22" t="n">
        <x:v>2</x:v>
      </x:c>
      <x:c r="J13" s="22" t="n">
        <x:v>2</x:v>
      </x:c>
      <x:c r="K13" s="22" t="n">
        <x:v>2</x:v>
      </x:c>
      <x:c r="L13" s="22" t="n">
        <x:v>2</x:v>
      </x:c>
      <x:c r="M13" s="22" t="n">
        <x:v>2</x:v>
      </x:c>
      <x:c r="N13" s="22" t="n">
        <x:v>1</x:v>
      </x:c>
      <x:c r="O13" s="22" t="n">
        <x:v>1</x:v>
      </x:c>
      <x:c r="P13" s="20" t="n">
        <x:v>18</x:v>
      </x:c>
      <x:c r="Q13" s="20" t="str">
        <x:v>High</x:v>
      </x:c>
      <x:c r="R13" s="20" t="str">
        <x:v>Medium</x:v>
      </x:c>
      <x:c r="S13" s="20" t="str">
        <x:v>Do not open or reproduce unsafe contrast prompts; metadata only.</x:v>
      </x:c>
      <x:c r="T13" s="20" t="str">
        <x:v>https://github.com/paul-rottger/xstest ; https://arxiv.org/abs/2308.01263</x:v>
      </x:c>
      <x:c r="U13" s="20" t="str">
        <x:v>250 safe prompts across ten prompt types plus 200 unsafe contrasts; code/data...</x:v>
      </x:c>
      <x:c r="V13" s="20" t="str">
        <x:v>Very relevant for verifiability of safety boundary benchmarks.</x:v>
      </x:c>
    </x:row>
    <x:row r="14">
      <x:c r="A14" s="20" t="str">
        <x:v>Do-Not-Answer</x:v>
      </x:c>
      <x:c r="B14" s="20" t="str">
        <x:v>Safety / harmfulness</x:v>
      </x:c>
      <x:c r="C14" s="20" t="str">
        <x:v>Safety / refusal</x:v>
      </x:c>
      <x:c r="D14" s="20" t="str">
        <x:v>Evaluates whether LLMs refuse prompts responsible models should not answer.</x:v>
      </x:c>
      <x:c r="E14" s="20" t="str">
        <x:v>Include</x:v>
      </x:c>
      <x:c r="F14" s="22" t="n">
        <x:v>2</x:v>
      </x:c>
      <x:c r="G14" s="22" t="n">
        <x:v>2</x:v>
      </x:c>
      <x:c r="H14" s="22" t="n">
        <x:v>2</x:v>
      </x:c>
      <x:c r="I14" s="22" t="n">
        <x:v>1</x:v>
      </x:c>
      <x:c r="J14" s="22" t="n">
        <x:v>2</x:v>
      </x:c>
      <x:c r="K14" s="22" t="n">
        <x:v>2</x:v>
      </x:c>
      <x:c r="L14" s="22" t="n">
        <x:v>2</x:v>
      </x:c>
      <x:c r="M14" s="22" t="n">
        <x:v>2</x:v>
      </x:c>
      <x:c r="N14" s="22" t="n">
        <x:v>1</x:v>
      </x:c>
      <x:c r="O14" s="22" t="n">
        <x:v>1</x:v>
      </x:c>
      <x:c r="P14" s="20" t="n">
        <x:v>17</x:v>
      </x:c>
      <x:c r="Q14" s="20" t="str">
        <x:v>Medium</x:v>
      </x:c>
      <x:c r="R14" s="20" t="str">
        <x:v>High</x:v>
      </x:c>
      <x:c r="S14" s="20" t="str">
        <x:v>High-risk content: metadata-only; do not inspect or quote raw prompts.</x:v>
      </x:c>
      <x:c r="T14" s="20" t="str">
        <x:v>https://arxiv.org/abs/2308.13387 ; https://github.com/libr-ai/do-not-answer</x:v>
      </x:c>
      <x:c r="U14" s="20" t="str">
        <x:v>Open-source dataset; includes safety harm categories and annotations; raw pro...</x:v>
      </x:c>
      <x:c r="V14" s="20" t="str">
        <x:v>Useful but should be handled with strict safety protocol.</x:v>
      </x:c>
    </x:row>
    <x:row r="15">
      <x:c r="A15" s="20" t="str">
        <x:v>SafetyBench</x:v>
      </x:c>
      <x:c r="B15" s="20" t="str">
        <x:v>Safety / harmfulness</x:v>
      </x:c>
      <x:c r="C15" s="20" t="str">
        <x:v>Safety / multilingual</x:v>
      </x:c>
      <x:c r="D15" s="20" t="str">
        <x:v>Evaluates LLM safety understanding with English/Chinese multiple-choice quest...</x:v>
      </x:c>
      <x:c r="E15" s="20" t="str">
        <x:v>Include</x:v>
      </x:c>
      <x:c r="F15" s="22" t="n">
        <x:v>2</x:v>
      </x:c>
      <x:c r="G15" s="22" t="n">
        <x:v>2</x:v>
      </x:c>
      <x:c r="H15" s="22" t="n">
        <x:v>2</x:v>
      </x:c>
      <x:c r="I15" s="22" t="n">
        <x:v>2</x:v>
      </x:c>
      <x:c r="J15" s="22" t="n">
        <x:v>2</x:v>
      </x:c>
      <x:c r="K15" s="22" t="n">
        <x:v>2</x:v>
      </x:c>
      <x:c r="L15" s="22" t="n">
        <x:v>1</x:v>
      </x:c>
      <x:c r="M15" s="22" t="n">
        <x:v>1</x:v>
      </x:c>
      <x:c r="N15" s="22" t="n">
        <x:v>1</x:v>
      </x:c>
      <x:c r="O15" s="22" t="n">
        <x:v>1</x:v>
      </x:c>
      <x:c r="P15" s="20" t="n">
        <x:v>16</x:v>
      </x:c>
      <x:c r="Q15" s="20" t="str">
        <x:v>High</x:v>
      </x:c>
      <x:c r="R15" s="20" t="str">
        <x:v>Medium</x:v>
      </x:c>
      <x:c r="S15" s="20" t="str">
        <x:v>Do not quote sensitive examples; metadata only.</x:v>
      </x:c>
      <x:c r="T15" s="20" t="str">
        <x:v>https://github.com/thu-coai/SafetyBench ; https://aclanthology.org/2024.acl-l...</x:v>
      </x:c>
      <x:c r="U15" s="20" t="str">
        <x:v>11,435 MCQs across 7 safety categories; Chinese and English data.</x:v>
      </x:c>
      <x:c r="V15" s="20" t="str">
        <x:v>Good multilingual safety benchmark case.</x:v>
      </x:c>
    </x:row>
    <x:row r="16">
      <x:c r="A16" s="20" t="str">
        <x:v>HarmBench</x:v>
      </x:c>
      <x:c r="B16" s="20" t="str">
        <x:v>Safety / harmfulness</x:v>
      </x:c>
      <x:c r="C16" s="20" t="str">
        <x:v>Safety / red-teaming evaluation</x:v>
      </x:c>
      <x:c r="D16" s="20" t="str">
        <x:v>Standardized evaluation framework for automated red teaming and robustness/re...</x:v>
      </x:c>
      <x:c r="E16" s="20" t="str">
        <x:v>Include</x:v>
      </x:c>
      <x:c r="F16" s="22" t="n">
        <x:v>2</x:v>
      </x:c>
      <x:c r="G16" s="22" t="n">
        <x:v>2</x:v>
      </x:c>
      <x:c r="H16" s="22" t="n">
        <x:v>2</x:v>
      </x:c>
      <x:c r="I16" s="22" t="n">
        <x:v>2</x:v>
      </x:c>
      <x:c r="J16" s="22" t="n">
        <x:v>2</x:v>
      </x:c>
      <x:c r="K16" s="22" t="n">
        <x:v>2</x:v>
      </x:c>
      <x:c r="L16" s="22" t="n">
        <x:v>1</x:v>
      </x:c>
      <x:c r="M16" s="22" t="n">
        <x:v>2</x:v>
      </x:c>
      <x:c r="N16" s="22" t="n">
        <x:v>1</x:v>
      </x:c>
      <x:c r="O16" s="22" t="n">
        <x:v>1</x:v>
      </x:c>
      <x:c r="P16" s="20" t="n">
        <x:v>17</x:v>
      </x:c>
      <x:c r="Q16" s="20" t="str">
        <x:v>High</x:v>
      </x:c>
      <x:c r="R16" s="20" t="str">
        <x:v>High</x:v>
      </x:c>
      <x:c r="S16" s="20" t="str">
        <x:v>High-risk content: metadata-only; do not inspect or quote raw behaviors/prompts.</x:v>
      </x:c>
      <x:c r="T16" s="20" t="str">
        <x:v>https://proceedings.mlr.press/v235/mazeika24a.html ; https://github.com/cente...</x:v>
      </x:c>
      <x:c r="U16" s="20" t="str">
        <x:v>Standardized evaluation framework, methods, and large-scale comparison; raw h...</x:v>
      </x:c>
      <x:c r="V16" s="20" t="str">
        <x:v>Strong case for safety benchmark verifiability, but content-sensitive.</x:v>
      </x:c>
    </x:row>
    <x:row r="17">
      <x:c r="A17" s="20" t="str">
        <x:v>JailbreakBench</x:v>
      </x:c>
      <x:c r="B17" s="20" t="str">
        <x:v>Safety / harmfulness</x:v>
      </x:c>
      <x:c r="C17" s="20" t="str">
        <x:v>Safety / jailbreak robustness</x:v>
      </x:c>
      <x:c r="D17" s="20" t="str">
        <x:v>Open robustness benchmark for tracking jailbreak attacks and defenses with st...</x:v>
      </x:c>
      <x:c r="E17" s="20" t="str">
        <x:v>Include</x:v>
      </x:c>
      <x:c r="F17" s="22" t="n">
        <x:v>2</x:v>
      </x:c>
      <x:c r="G17" s="22" t="n">
        <x:v>2</x:v>
      </x:c>
      <x:c r="H17" s="22" t="n">
        <x:v>2</x:v>
      </x:c>
      <x:c r="I17" s="22" t="n">
        <x:v>2</x:v>
      </x:c>
      <x:c r="J17" s="22" t="n">
        <x:v>2</x:v>
      </x:c>
      <x:c r="K17" s="22" t="n">
        <x:v>2</x:v>
      </x:c>
      <x:c r="L17" s="22" t="n">
        <x:v>1</x:v>
      </x:c>
      <x:c r="M17" s="22" t="n">
        <x:v>2</x:v>
      </x:c>
      <x:c r="N17" s="22" t="n">
        <x:v>2</x:v>
      </x:c>
      <x:c r="O17" s="22" t="n">
        <x:v>1</x:v>
      </x:c>
      <x:c r="P17" s="20" t="n">
        <x:v>18</x:v>
      </x:c>
      <x:c r="Q17" s="20" t="str">
        <x:v>High</x:v>
      </x:c>
      <x:c r="R17" s="20" t="str">
        <x:v>High</x:v>
      </x:c>
      <x:c r="S17" s="20" t="str">
        <x:v>High-risk content: metadata-only; do not inspect or quote adversarial prompts.</x:v>
      </x:c>
      <x:c r="T17" s="20" t="str">
        <x:v>https://jailbreakbench.github.io/ ; https://arxiv.org/abs/2404.01318 ; https:...</x:v>
      </x:c>
      <x:c r="U17" s="20" t="str">
        <x:v>Explicitly motivated by reproducibility gaps; includes standardized threat mo...</x:v>
      </x:c>
      <x:c r="V17" s="20" t="str">
        <x:v>Excellent verifiability-motivation example; content-sensitive.</x:v>
      </x:c>
    </x:row>
    <x:row r="18">
      <x:c r="A18" s="20" t="str">
        <x:v>BeaverTails</x:v>
      </x:c>
      <x:c r="B18" s="20" t="str">
        <x:v>Safety / harmfulness</x:v>
      </x:c>
      <x:c r="C18" s="20" t="str">
        <x:v>Safety alignment / helpfulness-harmlessness</x:v>
      </x:c>
      <x:c r="D18" s="20" t="str">
        <x:v>Dataset for safety alignment that separates helpfulness and harmlessness anno...</x:v>
      </x:c>
      <x:c r="E18" s="20" t="str">
        <x:v>Include</x:v>
      </x:c>
      <x:c r="F18" s="22" t="n">
        <x:v>2</x:v>
      </x:c>
      <x:c r="G18" s="22" t="n">
        <x:v>2</x:v>
      </x:c>
      <x:c r="H18" s="22" t="n">
        <x:v>2</x:v>
      </x:c>
      <x:c r="I18" s="22" t="n">
        <x:v>1</x:v>
      </x:c>
      <x:c r="J18" s="22" t="n">
        <x:v>2</x:v>
      </x:c>
      <x:c r="K18" s="22" t="n">
        <x:v>2</x:v>
      </x:c>
      <x:c r="L18" s="22" t="n">
        <x:v>2</x:v>
      </x:c>
      <x:c r="M18" s="22" t="n">
        <x:v>1</x:v>
      </x:c>
      <x:c r="N18" s="22" t="n">
        <x:v>2</x:v>
      </x:c>
      <x:c r="O18" s="22" t="n">
        <x:v>1</x:v>
      </x:c>
      <x:c r="P18" s="20" t="n">
        <x:v>17</x:v>
      </x:c>
      <x:c r="Q18" s="20" t="str">
        <x:v>Medium</x:v>
      </x:c>
      <x:c r="R18" s="20" t="str">
        <x:v>Medium</x:v>
      </x:c>
      <x:c r="S18" s="20" t="str">
        <x:v>Do not quote safety examples; metadata only.</x:v>
      </x:c>
      <x:c r="T18" s="20" t="str">
        <x:v>https://arxiv.org/abs/2307.04657 ; https://github.com/PKU-Alignment/beavertails</x:v>
      </x:c>
      <x:c r="U18" s="20" t="str">
        <x:v>Large human-preference dataset with safety meta-labels and helpfulness/harmle...</x:v>
      </x:c>
      <x:c r="V18" s="20" t="str">
        <x:v>Useful for annotation transparency dimension.</x:v>
      </x:c>
    </x:row>
    <x:row r="19">
      <x:c r="A19" s="20" t="str">
        <x:v>TrustLLM</x:v>
      </x:c>
      <x:c r="B19" s="20" t="str">
        <x:v>Holistic / trustworthiness</x:v>
      </x:c>
      <x:c r="C19" s="20" t="str">
        <x:v>Trustworthiness suite</x:v>
      </x:c>
      <x:c r="D19" s="20" t="str">
        <x:v>Comprehensive benchmark/framework for trustworthiness in LLMs across multiple...</x:v>
      </x:c>
      <x:c r="E19" s="20" t="str">
        <x:v>Include</x:v>
      </x:c>
      <x:c r="F19" s="22" t="n">
        <x:v>2</x:v>
      </x:c>
      <x:c r="G19" s="22" t="n">
        <x:v>2</x:v>
      </x:c>
      <x:c r="H19" s="22" t="n">
        <x:v>2</x:v>
      </x:c>
      <x:c r="I19" s="22" t="n">
        <x:v>2</x:v>
      </x:c>
      <x:c r="J19" s="22" t="n">
        <x:v>2</x:v>
      </x:c>
      <x:c r="K19" s="22" t="n">
        <x:v>2</x:v>
      </x:c>
      <x:c r="L19" s="22" t="n">
        <x:v>1</x:v>
      </x:c>
      <x:c r="M19" s="22" t="n">
        <x:v>2</x:v>
      </x:c>
      <x:c r="N19" s="22" t="n">
        <x:v>1</x:v>
      </x:c>
      <x:c r="O19" s="22" t="n">
        <x:v>1</x:v>
      </x:c>
      <x:c r="P19" s="20" t="n">
        <x:v>17</x:v>
      </x:c>
      <x:c r="Q19" s="20" t="str">
        <x:v>Medium</x:v>
      </x:c>
      <x:c r="R19" s="20" t="str">
        <x:v>Medium</x:v>
      </x:c>
      <x:c r="S19" s="20" t="str">
        <x:v>Metadata only for sensitive dimensions.</x:v>
      </x:c>
      <x:c r="T19" s="20" t="str">
        <x:v>https://github.com/HowieHwong/TrustLLM ; https://trustllmbenchmark.github.io/...</x:v>
      </x:c>
      <x:c r="U19" s="20" t="str">
        <x:v>Covers truthfulness, safety, fairness, robustness, privacy, machine ethics an...</x:v>
      </x:c>
      <x:c r="V19" s="20" t="str">
        <x:v>Holistic trustworthiness benchmark suite.</x:v>
      </x:c>
    </x:row>
    <x:row r="20">
      <x:c r="A20" s="20" t="str">
        <x:v>DecodingTrust</x:v>
      </x:c>
      <x:c r="B20" s="20" t="str">
        <x:v>Holistic / trustworthiness</x:v>
      </x:c>
      <x:c r="C20" s="20" t="str">
        <x:v>Trustworthiness suite</x:v>
      </x:c>
      <x:c r="D20" s="20" t="str">
        <x:v>Comprehensive trustworthiness evaluation of GPT models across toxicity, stere...</x:v>
      </x:c>
      <x:c r="E20" s="20" t="str">
        <x:v>Include</x:v>
      </x:c>
      <x:c r="F20" s="22" t="n">
        <x:v>2</x:v>
      </x:c>
      <x:c r="G20" s="22" t="n">
        <x:v>2</x:v>
      </x:c>
      <x:c r="H20" s="22" t="n">
        <x:v>2</x:v>
      </x:c>
      <x:c r="I20" s="22" t="n">
        <x:v>2</x:v>
      </x:c>
      <x:c r="J20" s="22" t="n">
        <x:v>2</x:v>
      </x:c>
      <x:c r="K20" s="22" t="n">
        <x:v>2</x:v>
      </x:c>
      <x:c r="L20" s="22" t="n">
        <x:v>1</x:v>
      </x:c>
      <x:c r="M20" s="22" t="n">
        <x:v>1</x:v>
      </x:c>
      <x:c r="N20" s="22" t="n">
        <x:v>1</x:v>
      </x:c>
      <x:c r="O20" s="22" t="n">
        <x:v>1</x:v>
      </x:c>
      <x:c r="P20" s="20" t="n">
        <x:v>16</x:v>
      </x:c>
      <x:c r="Q20" s="20" t="str">
        <x:v>Medium</x:v>
      </x:c>
      <x:c r="R20" s="20" t="str">
        <x:v>Medium</x:v>
      </x:c>
      <x:c r="S20" s="20" t="str">
        <x:v>Metadata only for sensitive examples and outputs.</x:v>
      </x:c>
      <x:c r="T20" s="20" t="str">
        <x:v>https://decodingtrust.github.io/ ; https://github.com/ai-secure/decodingtrust...</x:v>
      </x:c>
      <x:c r="U20" s="20" t="str">
        <x:v>Data/code available, but focus on specific GPT models and sensitive output co...</x:v>
      </x:c>
      <x:c r="V20" s="20" t="str">
        <x:v>Trustworthiness-suite comparison case.</x:v>
      </x:c>
    </x:row>
    <x:row r="21">
      <x:c r="A21" s="20" t="str">
        <x:v>CEB</x:v>
      </x:c>
      <x:c r="B21" s="20" t="str">
        <x:v>Bias / fairness</x:v>
      </x:c>
      <x:c r="C21" s="20" t="str">
        <x:v>Bias / fairness / compositional</x:v>
      </x:c>
      <x:c r="D21" s="20" t="str">
        <x:v>Compositional evaluation benchmark for bias and fairness in large language mo...</x:v>
      </x:c>
      <x:c r="E21" s="20" t="str">
        <x:v>Include</x:v>
      </x:c>
      <x:c r="F21" s="22" t="n">
        <x:v>2</x:v>
      </x:c>
      <x:c r="G21" s="22" t="n">
        <x:v>2</x:v>
      </x:c>
      <x:c r="H21" s="22" t="n">
        <x:v>2</x:v>
      </x:c>
      <x:c r="I21" s="22" t="n">
        <x:v>1</x:v>
      </x:c>
      <x:c r="J21" s="22" t="n">
        <x:v>2</x:v>
      </x:c>
      <x:c r="K21" s="22" t="n">
        <x:v>2</x:v>
      </x:c>
      <x:c r="L21" s="22" t="n">
        <x:v>1</x:v>
      </x:c>
      <x:c r="M21" s="22" t="n">
        <x:v>1</x:v>
      </x:c>
      <x:c r="N21" s="22" t="n">
        <x:v>1</x:v>
      </x:c>
      <x:c r="O21" s="22" t="n">
        <x:v>1</x:v>
      </x:c>
      <x:c r="P21" s="20" t="n">
        <x:v>15</x:v>
      </x:c>
      <x:c r="Q21" s="20" t="str">
        <x:v>Medium</x:v>
      </x:c>
      <x:c r="R21" s="20" t="str">
        <x:v>Medium</x:v>
      </x:c>
      <x:c r="S21" s="20" t="str">
        <x:v>Standard metadata; avoid sensitive examples.</x:v>
      </x:c>
      <x:c r="T21" s="20" t="str">
        <x:v>https://github.com/SongW-SW/CEB ; https://openreview.net/forum?id=IUmj2dw5se</x:v>
      </x:c>
      <x:c r="U21" s="20" t="str">
        <x:v>Recent ICLR 2025 benchmark with public data release; scoring code/release det...</x:v>
      </x:c>
      <x:c r="V21" s="20" t="str">
        <x:v>Modern bias benchmark case.</x:v>
      </x:c>
    </x:row>
    <x:row r="22">
      <x:c r="A22" s="20" t="str">
        <x:v>HONEST</x:v>
      </x:c>
      <x:c r="B22" s="20" t="str">
        <x:v>Bias / fairness</x:v>
      </x:c>
      <x:c r="C22" s="20" t="str">
        <x:v>Hurtful completion / multilingual bias</x:v>
      </x:c>
      <x:c r="D22" s="20" t="str">
        <x:v>Measures hurtful sentence completions in language models through templates an...</x:v>
      </x:c>
      <x:c r="E22" s="20" t="str">
        <x:v>Include</x:v>
      </x:c>
      <x:c r="F22" s="22" t="n">
        <x:v>2</x:v>
      </x:c>
      <x:c r="G22" s="22" t="n">
        <x:v>2</x:v>
      </x:c>
      <x:c r="H22" s="22" t="n">
        <x:v>2</x:v>
      </x:c>
      <x:c r="I22" s="22" t="n">
        <x:v>2</x:v>
      </x:c>
      <x:c r="J22" s="22" t="n">
        <x:v>2</x:v>
      </x:c>
      <x:c r="K22" s="22" t="n">
        <x:v>2</x:v>
      </x:c>
      <x:c r="L22" s="22" t="n">
        <x:v>1</x:v>
      </x:c>
      <x:c r="M22" s="22" t="n">
        <x:v>1</x:v>
      </x:c>
      <x:c r="N22" s="22" t="n">
        <x:v>1</x:v>
      </x:c>
      <x:c r="O22" s="22" t="n">
        <x:v>1</x:v>
      </x:c>
      <x:c r="P22" s="20" t="n">
        <x:v>16</x:v>
      </x:c>
      <x:c r="Q22" s="20" t="str">
        <x:v>High</x:v>
      </x:c>
      <x:c r="R22" s="20" t="str">
        <x:v>Low</x:v>
      </x:c>
      <x:c r="S22" s="20" t="str">
        <x:v>Do not quote hurtful completions; metadata only.</x:v>
      </x:c>
      <x:c r="T22" s="20" t="str">
        <x:v>https://github.com/MilaNLProc/honest ; https://aclanthology.org/2021.naacl-ma...</x:v>
      </x:c>
      <x:c r="U22" s="20" t="str">
        <x:v>Templates in six languages; systematic template/lexicon-based evaluation.</x:v>
      </x:c>
      <x:c r="V22" s="20" t="str">
        <x:v>Multilingual bias/toxicity-adjacent benchmark.</x:v>
      </x:c>
    </x:row>
    <x:row r="23">
      <x:c r="A23" s="20" t="str">
        <x:v>WinoMT</x:v>
      </x:c>
      <x:c r="B23" s="20" t="str">
        <x:v>Bias / fairness</x:v>
      </x:c>
      <x:c r="C23" s="20" t="str">
        <x:v>Gender bias / machine translation</x:v>
      </x:c>
      <x:c r="D23" s="20" t="str">
        <x:v>Evaluates gender bias in machine translation through coreference-sensitive te...</x:v>
      </x:c>
      <x:c r="E23" s="20" t="str">
        <x:v>Include</x:v>
      </x:c>
      <x:c r="F23" s="22" t="n">
        <x:v>2</x:v>
      </x:c>
      <x:c r="G23" s="22" t="n">
        <x:v>2</x:v>
      </x:c>
      <x:c r="H23" s="22" t="n">
        <x:v>2</x:v>
      </x:c>
      <x:c r="I23" s="22" t="n">
        <x:v>2</x:v>
      </x:c>
      <x:c r="J23" s="22" t="n">
        <x:v>2</x:v>
      </x:c>
      <x:c r="K23" s="22" t="n">
        <x:v>2</x:v>
      </x:c>
      <x:c r="L23" s="22" t="n">
        <x:v>1</x:v>
      </x:c>
      <x:c r="M23" s="22" t="n">
        <x:v>1</x:v>
      </x:c>
      <x:c r="N23" s="22" t="n">
        <x:v>1</x:v>
      </x:c>
      <x:c r="O23" s="22" t="n">
        <x:v>1</x:v>
      </x:c>
      <x:c r="P23" s="20" t="n">
        <x:v>16</x:v>
      </x:c>
      <x:c r="Q23" s="20" t="str">
        <x:v>High</x:v>
      </x:c>
      <x:c r="R23" s="20" t="str">
        <x:v>Low</x:v>
      </x:c>
      <x:c r="S23" s="20" t="str">
        <x:v>Standard metadata.</x:v>
      </x:c>
      <x:c r="T23" s="20" t="str">
        <x:v>https://github.com/gabrielStanovsky/mt_gender ; https://aclanthology.org/P19-...</x:v>
      </x:c>
      <x:c r="U23" s="20" t="str">
        <x:v>3,888 balanced instances; code/data public.</x:v>
      </x:c>
      <x:c r="V23" s="20" t="str">
        <x:v>Classic multilingual/gender-bias benchmark.</x:v>
      </x:c>
    </x:row>
    <x:row r="24">
      <x:c r="A24" s="20" t="str">
        <x:v>ETHICS</x:v>
      </x:c>
      <x:c r="B24" s="20" t="str">
        <x:v>Ethics / values</x:v>
      </x:c>
      <x:c r="C24" s="20" t="str">
        <x:v>Machine ethics / values</x:v>
      </x:c>
      <x:c r="D24" s="20" t="str">
        <x:v>Benchmarks language model knowledge of basic moral concepts across justice, w...</x:v>
      </x:c>
      <x:c r="E24" s="20" t="str">
        <x:v>Include</x:v>
      </x:c>
      <x:c r="F24" s="22" t="n">
        <x:v>2</x:v>
      </x:c>
      <x:c r="G24" s="22" t="n">
        <x:v>2</x:v>
      </x:c>
      <x:c r="H24" s="22" t="n">
        <x:v>2</x:v>
      </x:c>
      <x:c r="I24" s="22" t="n">
        <x:v>2</x:v>
      </x:c>
      <x:c r="J24" s="22" t="n">
        <x:v>2</x:v>
      </x:c>
      <x:c r="K24" s="22" t="n">
        <x:v>2</x:v>
      </x:c>
      <x:c r="L24" s="22" t="n">
        <x:v>1</x:v>
      </x:c>
      <x:c r="M24" s="22" t="n">
        <x:v>1</x:v>
      </x:c>
      <x:c r="N24" s="22" t="n">
        <x:v>1</x:v>
      </x:c>
      <x:c r="O24" s="22" t="n">
        <x:v>1</x:v>
      </x:c>
      <x:c r="P24" s="20" t="n">
        <x:v>16</x:v>
      </x:c>
      <x:c r="Q24" s="20" t="str">
        <x:v>High</x:v>
      </x:c>
      <x:c r="R24" s="20" t="str">
        <x:v>Low</x:v>
      </x:c>
      <x:c r="S24" s="20" t="str">
        <x:v>Standard metadata; no need to quote sensitive moral scenarios.</x:v>
      </x:c>
      <x:c r="T24" s="20" t="str">
        <x:v>https://github.com/hendrycks/ethics ; https://arxiv.org/abs/2008.02275 ; http...</x:v>
      </x:c>
      <x:c r="U24" s="20" t="str">
        <x:v>Public benchmark with multiple ethical reasoning tasks; annotation detail les...</x:v>
      </x:c>
      <x:c r="V24" s="20" t="str">
        <x:v>Machine-ethics responsible-AI benchmark.</x:v>
      </x:c>
    </x:row>
    <x:row r="25">
      <x:c r="A25" s="20" t="str">
        <x:v>HolisticBias</x:v>
      </x:c>
      <x:c r="B25" s="20" t="str">
        <x:v>Bias / fairness</x:v>
      </x:c>
      <x:c r="C25" s="20" t="str">
        <x:v>Demographic bias / generation</x:v>
      </x:c>
      <x:c r="D25" s="20" t="str">
        <x:v>Measures bias across a broad descriptor set of demographic terms and template...</x:v>
      </x:c>
      <x:c r="E25" s="20" t="str">
        <x:v>Include</x:v>
      </x:c>
      <x:c r="F25" s="22" t="n">
        <x:v>2</x:v>
      </x:c>
      <x:c r="G25" s="22" t="n">
        <x:v>2</x:v>
      </x:c>
      <x:c r="H25" s="22" t="n">
        <x:v>2</x:v>
      </x:c>
      <x:c r="I25" s="22" t="n">
        <x:v>1</x:v>
      </x:c>
      <x:c r="J25" s="22" t="n">
        <x:v>2</x:v>
      </x:c>
      <x:c r="K25" s="22" t="n">
        <x:v>2</x:v>
      </x:c>
      <x:c r="L25" s="22" t="n">
        <x:v>1</x:v>
      </x:c>
      <x:c r="M25" s="22" t="n">
        <x:v>1</x:v>
      </x:c>
      <x:c r="N25" s="22" t="n">
        <x:v>1</x:v>
      </x:c>
      <x:c r="O25" s="22" t="n">
        <x:v>1</x:v>
      </x:c>
      <x:c r="P25" s="20" t="n">
        <x:v>15</x:v>
      </x:c>
      <x:c r="Q25" s="20" t="str">
        <x:v>Medium</x:v>
      </x:c>
      <x:c r="R25" s="20" t="str">
        <x:v>Medium</x:v>
      </x:c>
      <x:c r="S25" s="20" t="str">
        <x:v>Do not quote sensitive demographic prompt examples.</x:v>
      </x:c>
      <x:c r="T25" s="20" t="str">
        <x:v>https://github.com/facebookresearch/ResponsibleNLP ; https://ai.meta.com/rese...</x:v>
      </x:c>
      <x:c r="U25" s="20" t="str">
        <x:v>Nearly 600 descriptor terms, 13 demographic axes, over 450K prompts; particip...</x:v>
      </x:c>
      <x:c r="V25" s="20" t="str">
        <x:v>Coverage-rich demographic-bias benchmark.</x:v>
      </x:c>
    </x:row>
    <x:row r="26">
      <x:c r="A26" s="20" t="str">
        <x:v>UnQover</x:v>
      </x:c>
      <x:c r="B26" s="20" t="str">
        <x:v>Bias / fairness</x:v>
      </x:c>
      <x:c r="C26" s="20" t="str">
        <x:v>Stereotype bias / QA</x:v>
      </x:c>
      <x:c r="D26" s="20" t="str">
        <x:v>Probes stereotyping biases via underspecified questions.</x:v>
      </x:c>
      <x:c r="E26" s="20" t="str">
        <x:v>Include</x:v>
      </x:c>
      <x:c r="F26" s="22" t="n">
        <x:v>2</x:v>
      </x:c>
      <x:c r="G26" s="22" t="n">
        <x:v>2</x:v>
      </x:c>
      <x:c r="H26" s="22" t="n">
        <x:v>2</x:v>
      </x:c>
      <x:c r="I26" s="22" t="n">
        <x:v>1</x:v>
      </x:c>
      <x:c r="J26" s="22" t="n">
        <x:v>2</x:v>
      </x:c>
      <x:c r="K26" s="22" t="n">
        <x:v>2</x:v>
      </x:c>
      <x:c r="L26" s="22" t="n">
        <x:v>1</x:v>
      </x:c>
      <x:c r="M26" s="22" t="n">
        <x:v>1</x:v>
      </x:c>
      <x:c r="N26" s="22" t="n">
        <x:v>1</x:v>
      </x:c>
      <x:c r="O26" s="22" t="n">
        <x:v>1</x:v>
      </x:c>
      <x:c r="P26" s="20" t="n">
        <x:v>15</x:v>
      </x:c>
      <x:c r="Q26" s="20" t="str">
        <x:v>Medium</x:v>
      </x:c>
      <x:c r="R26" s="20" t="str">
        <x:v>Medium</x:v>
      </x:c>
      <x:c r="S26" s="20" t="str">
        <x:v>Do not quote offensive attributes; metadata only.</x:v>
      </x:c>
      <x:c r="T26" s="20" t="str">
        <x:v>https://github.com/allenai/unqover ; https://aclanthology.org/2020.findings-e...</x:v>
      </x:c>
      <x:c r="U26" s="20" t="str">
        <x:v>Templates/fillers for gender, nationality, ethnicity, and religion; repositor...</x:v>
      </x:c>
      <x:c r="V26" s="20" t="str">
        <x:v>QA-bias benchmark with explicit methodological formalism.</x:v>
      </x:c>
    </x:row>
    <x:row r="27">
      <x:c r="A27" s="20" t="str">
        <x:v>Winogender Schemas</x:v>
      </x:c>
      <x:c r="B27" s="20" t="str">
        <x:v>Bias / fairness</x:v>
      </x:c>
      <x:c r="C27" s="20" t="str">
        <x:v>Gender bias / coreference</x:v>
      </x:c>
      <x:c r="D27" s="20" t="str">
        <x:v>Diagnostic test for gender bias in coreference resolution systems.</x:v>
      </x:c>
      <x:c r="E27" s="20" t="str">
        <x:v>Include</x:v>
      </x:c>
      <x:c r="F27" s="22" t="n">
        <x:v>2</x:v>
      </x:c>
      <x:c r="G27" s="22" t="n">
        <x:v>2</x:v>
      </x:c>
      <x:c r="H27" s="22" t="n">
        <x:v>2</x:v>
      </x:c>
      <x:c r="I27" s="22" t="n">
        <x:v>1</x:v>
      </x:c>
      <x:c r="J27" s="22" t="n">
        <x:v>2</x:v>
      </x:c>
      <x:c r="K27" s="22" t="n">
        <x:v>2</x:v>
      </x:c>
      <x:c r="L27" s="22" t="n">
        <x:v>1</x:v>
      </x:c>
      <x:c r="M27" s="22" t="n">
        <x:v>1</x:v>
      </x:c>
      <x:c r="N27" s="22" t="n">
        <x:v>1</x:v>
      </x:c>
      <x:c r="O27" s="22" t="n">
        <x:v>1</x:v>
      </x:c>
      <x:c r="P27" s="20" t="n">
        <x:v>15</x:v>
      </x:c>
      <x:c r="Q27" s="20" t="str">
        <x:v>High</x:v>
      </x:c>
      <x:c r="R27" s="20" t="str">
        <x:v>Low</x:v>
      </x:c>
      <x:c r="S27" s="20" t="str">
        <x:v>Standard metadata.</x:v>
      </x:c>
      <x:c r="T27" s="20" t="str">
        <x:v>https://github.com/rudinger/winogender-schemas ; https://aclanthology.org/N18...</x:v>
      </x:c>
      <x:c r="U27" s="20" t="str">
        <x:v>Public schemas; authors explicitly caution that diagnostic positive/negative ...</x:v>
      </x:c>
      <x:c r="V27" s="20" t="str">
        <x:v>Good example of explicit intended-use limitation.</x:v>
      </x:c>
    </x:row>
    <x:row r="28">
      <x:c r="A28" s="20" t="str">
        <x:v>WinoBias</x:v>
      </x:c>
      <x:c r="B28" s="20" t="str">
        <x:v>Bias / fairness</x:v>
      </x:c>
      <x:c r="C28" s="20" t="str">
        <x:v>Gender bias / coreference</x:v>
      </x:c>
      <x:c r="D28" s="20" t="str">
        <x:v>Evaluates gender bias in coreference resolution using Winograd-style occupation sentences.</x:v>
      </x:c>
      <x:c r="E28" s="20" t="str">
        <x:v>Include</x:v>
      </x:c>
      <x:c r="F28" s="22" t="n">
        <x:v>2</x:v>
      </x:c>
      <x:c r="G28" s="22" t="n">
        <x:v>2</x:v>
      </x:c>
      <x:c r="H28" s="22" t="n">
        <x:v>2</x:v>
      </x:c>
      <x:c r="I28" s="22" t="n">
        <x:v>1</x:v>
      </x:c>
      <x:c r="J28" s="22" t="n">
        <x:v>2</x:v>
      </x:c>
      <x:c r="K28" s="22" t="n">
        <x:v>2</x:v>
      </x:c>
      <x:c r="L28" s="22" t="n">
        <x:v>1</x:v>
      </x:c>
      <x:c r="M28" s="22" t="n">
        <x:v>1</x:v>
      </x:c>
      <x:c r="N28" s="22" t="n">
        <x:v>1</x:v>
      </x:c>
      <x:c r="O28" s="22" t="n">
        <x:v>1</x:v>
      </x:c>
      <x:c r="P28" s="20" t="n">
        <x:v>15</x:v>
      </x:c>
      <x:c r="Q28" s="20" t="str">
        <x:v>High</x:v>
      </x:c>
      <x:c r="R28" s="20" t="str">
        <x:v>Low</x:v>
      </x:c>
      <x:c r="S28" s="20" t="str">
        <x:v>Standard metadata.</x:v>
      </x:c>
      <x:c r="T28" s="20" t="str">
        <x:v>https://github.com/uclanlp/corefBias ; https://uclanlp.github.io/corefBias/overview ; https://aclanthology.org/N18-2003/</x:v>
      </x:c>
      <x:c r="U28" s="20" t="str">
        <x:v>Public dataset; occupational gender stereotype structure documented.</x:v>
      </x:c>
      <x:c r="V28" s="20" t="str">
        <x:v>Classic bias benchmark for historical comparison.</x:v>
      </x:c>
    </x:row>
    <x:row r="29">
      <x:c r="A29" s="20" t="str">
        <x:v>CivilComments / Jigsaw Unintended Bias</x:v>
      </x:c>
      <x:c r="B29" s="20" t="str">
        <x:v>Bias / fairness</x:v>
      </x:c>
      <x:c r="C29" s="20" t="str">
        <x:v>Toxicity / unintended bias</x:v>
      </x:c>
      <x:c r="D29" s="20" t="str">
        <x:v>Toxicity classification dataset with identity annotations used to evaluate unintended bias.</x:v>
      </x:c>
      <x:c r="E29" s="20" t="str">
        <x:v>Include</x:v>
      </x:c>
      <x:c r="F29" s="22" t="n">
        <x:v>2</x:v>
      </x:c>
      <x:c r="G29" s="22" t="n">
        <x:v>2</x:v>
      </x:c>
      <x:c r="H29" s="22" t="n">
        <x:v>1</x:v>
      </x:c>
      <x:c r="I29" s="22" t="n">
        <x:v>1</x:v>
      </x:c>
      <x:c r="J29" s="22" t="n">
        <x:v>1</x:v>
      </x:c>
      <x:c r="K29" s="22" t="n">
        <x:v>1</x:v>
      </x:c>
      <x:c r="L29" s="22" t="n">
        <x:v>1</x:v>
      </x:c>
      <x:c r="M29" s="22" t="n">
        <x:v>1</x:v>
      </x:c>
      <x:c r="N29" s="22" t="n">
        <x:v>1</x:v>
      </x:c>
      <x:c r="O29" s="22" t="n">
        <x:v>1</x:v>
      </x:c>
      <x:c r="P29" s="20" t="n">
        <x:v>12</x:v>
      </x:c>
      <x:c r="Q29" s="20" t="str">
        <x:v>Medium</x:v>
      </x:c>
      <x:c r="R29" s="20" t="str">
        <x:v>High</x:v>
      </x:c>
      <x:c r="S29" s="20" t="str">
        <x:v>Do not quote comments; metadata only.</x:v>
      </x:c>
      <x:c r="T29" s="20" t="str">
        <x:v>https://www.kaggle.com/c/jigsaw-unintended-bias-in-toxicity-classification ; https://huggingface.co/datasets/google/jigsaw_unintended_bias ; https://www.tensorflow.org/datasets/catalog/civil_comments</x:v>
      </x:c>
      <x:c r="U29" s="20" t="str">
        <x:v>Public comments and toxicity/identity labels; more dataset/competition than a modern LLM benchmark.</x:v>
      </x:c>
      <x:c r="V29" s="20" t="str">
        <x:v>Maybe include as older toxicity-bias resource, or exclude for scope cleanliness.</x:v>
      </x:c>
    </x:row>
    <x:row r="30">
      <x:c r="A30" s="20" t="str">
        <x:v>HaluEval</x:v>
      </x:c>
      <x:c r="B30" s="20" t="str">
        <x:v>Truthfulness / hallucination</x:v>
      </x:c>
      <x:c r="C30" s="20" t="str">
        <x:v>Hallucination / truthfulness</x:v>
      </x:c>
      <x:c r="D30" s="20" t="str">
        <x:v>Evaluates LLM recognition of hallucinated content across QA, dialogue, and summarization.</x:v>
      </x:c>
      <x:c r="E30" s="20" t="str">
        <x:v>Include</x:v>
      </x:c>
      <x:c r="F30" s="22" t="n">
        <x:v>2</x:v>
      </x:c>
      <x:c r="G30" s="22" t="n">
        <x:v>2</x:v>
      </x:c>
      <x:c r="H30" s="22" t="n">
        <x:v>2</x:v>
      </x:c>
      <x:c r="I30" s="22" t="n">
        <x:v>1</x:v>
      </x:c>
      <x:c r="J30" s="22" t="n">
        <x:v>2</x:v>
      </x:c>
      <x:c r="K30" s="22" t="n">
        <x:v>2</x:v>
      </x:c>
      <x:c r="L30" s="22" t="n">
        <x:v>1</x:v>
      </x:c>
      <x:c r="M30" s="22" t="n">
        <x:v>1</x:v>
      </x:c>
      <x:c r="N30" s="22" t="n">
        <x:v>1</x:v>
      </x:c>
      <x:c r="O30" s="22" t="n">
        <x:v>1</x:v>
      </x:c>
      <x:c r="P30" s="20" t="n">
        <x:v>15</x:v>
      </x:c>
      <x:c r="Q30" s="20" t="str">
        <x:v>Medium</x:v>
      </x:c>
      <x:c r="R30" s="20" t="str">
        <x:v>Medium</x:v>
      </x:c>
      <x:c r="S30" s="20" t="str">
        <x:v>Standard metadata.</x:v>
      </x:c>
      <x:c r="T30" s="20" t="str">
        <x:v>https://github.com/RUCAIBox/HaluEval ; https://arxiv.org/abs/2305.11747 ; https://aclanthology.org/2023.emnlp-main.397/</x:v>
      </x:c>
      <x:c r="U30" s="20" t="str">
        <x:v>Large human-annotated hallucination benchmark; responsibility connection is reliability/truthfulness rather than bias/safety.</x:v>
      </x:c>
      <x:c r="V30" s="20" t="str">
        <x:v>Maybe include if truthfulness/reliability scope remains broad.</x:v>
      </x:c>
    </x:row>
    <x:row r="31">
      <x:c r="A31" s="20" t="str">
        <x:v>AdvBench</x:v>
      </x:c>
      <x:c r="B31" s="20" t="str">
        <x:v>Safety / harmfulness</x:v>
      </x:c>
      <x:c r="C31" s="20" t="str">
        <x:v>Safety / harmfulness / adversarial prompts</x:v>
      </x:c>
      <x:c r="D31" s="20" t="str">
        <x:v>Evaluates whether aligned language models comply with adversarially framed harmful-behavior instructions.</x:v>
      </x:c>
      <x:c r="E31" s="20" t="str">
        <x:v>Include</x:v>
      </x:c>
      <x:c r="F31" s="22" t="n">
        <x:v>2</x:v>
      </x:c>
      <x:c r="G31" s="22" t="n">
        <x:v>2</x:v>
      </x:c>
      <x:c r="H31" s="22" t="n">
        <x:v>1</x:v>
      </x:c>
      <x:c r="I31" s="22" t="n">
        <x:v>1</x:v>
      </x:c>
      <x:c r="J31" s="22" t="n">
        <x:v>2</x:v>
      </x:c>
      <x:c r="K31" s="22" t="n">
        <x:v>1</x:v>
      </x:c>
      <x:c r="L31" s="22" t="n">
        <x:v>0</x:v>
      </x:c>
      <x:c r="M31" s="22" t="n">
        <x:v>1</x:v>
      </x:c>
      <x:c r="N31" s="22" t="n">
        <x:v>1</x:v>
      </x:c>
      <x:c r="O31" s="22" t="n">
        <x:v>0</x:v>
      </x:c>
      <x:c r="P31" s="20" t="n">
        <x:v>11</x:v>
      </x:c>
      <x:c r="Q31" s="20" t="str">
        <x:v>Medium</x:v>
      </x:c>
      <x:c r="R31" s="20" t="str">
        <x:v>High</x:v>
      </x:c>
      <x:c r="S31" s="20" t="str">
        <x:v>High-risk content: metadata-only; do not inspect, copy, or reproduce raw harmful prompts.</x:v>
      </x:c>
      <x:c r="T31" s="20" t="str">
        <x:v>https://github.com/llm-attacks/llm-attacks/blob/main/data/advbench/harmful_behaviors.csv ; https://paperswithcode.com/dataset/advbench ; https://huggingface.co/datasets/walledai/AdvBench</x:v>
      </x:c>
      <x:c r="U31" s="20" t="str">
        <x:v>Public harmful-behavior item set is available, but scoring/evaluation protocol, annotation transparency, license/reuse clarity, and coverage documentation are weaker than modern safety benchmarks.</x:v>
      </x:c>
      <x:c r="V31" s="20" t="str">
        <x:v>Supplemental safety benchmark added for 15-benchmark reliability sample.</x:v>
      </x:c>
    </x:row>
  </x:sheetData>
  <x:conditionalFormatting sqref="F2:O3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cafd626d51a40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4" hidden="0" customWidth="1"/>
  </x:cols>
  <x:sheetData>
    <x:row r="1" ht="16.799999237060547" hidden="0" customHeight="1">
      <x:c r="A1" s="12" t="str">
        <x:v>VerifyBench Summary Metrics</x:v>
      </x:c>
      <x:c r="B1" s="12" t="str"/>
    </x:row>
    <x:row r="2" ht="15" hidden="0" customHeight="1">
      <x:c r="A2" s="37" t="str">
        <x:v>Included benchmarks</x:v>
      </x:c>
      <x:c r="B2" s="20" t="n">
        <x:v>30</x:v>
      </x:c>
    </x:row>
    <x:row r="3" ht="15" hidden="0" customHeight="1">
      <x:c r="A3" s="37" t="str">
        <x:v>Mean total score</x:v>
      </x:c>
      <x:c r="B3" s="20" t="n">
        <x:v>16.03</x:v>
      </x:c>
    </x:row>
    <x:row r="4" ht="15" hidden="0" customHeight="1">
      <x:c r="A4" s="37" t="str">
        <x:v>Median total score</x:v>
      </x:c>
      <x:c r="B4" s="20" t="n">
        <x:v>16</x:v>
      </x:c>
    </x:row>
    <x:row r="5" ht="15" hidden="0" customHeight="1">
      <x:c r="A5" s="37" t="str">
        <x:v>Minimum total score</x:v>
      </x:c>
      <x:c r="B5" s="20" t="n">
        <x:v>11</x:v>
      </x:c>
    </x:row>
    <x:row r="6" ht="15" hidden="0" customHeight="1">
      <x:c r="A6" s="37" t="str">
        <x:v>Maximum total score</x:v>
      </x:c>
      <x:c r="B6" s="20" t="n">
        <x:v>19</x:v>
      </x:c>
    </x:row>
    <x:row r="7" ht="15" hidden="0" customHeight="1">
      <x:c r="A7" s="37" t="str">
        <x:v>Population SD</x:v>
      </x:c>
      <x:c r="B7" s="20" t="n">
        <x:v>1.74</x:v>
      </x:c>
    </x:row>
    <x:row r="8" ht="15" hidden="0" customHeight="1">
      <x:c r="A8" s="37" t="str">
        <x:v>Primary exact cell agreement</x:v>
      </x:c>
      <x:c r="B8" s="20" t="str">
        <x:v>76.0%</x:v>
      </x:c>
    </x:row>
    <x:row r="9" ht="15" hidden="0" customHeight="1">
      <x:c r="A9" s="37" t="str">
        <x:v>Primary Cohen's kappa</x:v>
      </x:c>
      <x:c r="B9" s="20" t="n">
        <x:v>0.49</x:v>
      </x:c>
    </x:row>
    <x:row r="10" ht="15" hidden="0" customHeight="1">
      <x:c r="A10" s="37" t="str">
        <x:v>Primary linear-weighted kappa</x:v>
      </x:c>
      <x:c r="B10" s="20" t="n">
        <x:v>0.508</x:v>
      </x:c>
    </x:row>
    <x:row r="11" ht="15" hidden="0" customHeight="1">
      <x:c r="A11" s="37" t="str">
        <x:v>Primary double-coded benchmarks</x:v>
      </x:c>
      <x:c r="B11" s="20" t="n">
        <x:v>15</x:v>
      </x:c>
    </x:row>
    <x:row r="12" ht="15" hidden="0" customHeight="1">
      <x:c r="A12" s="20" t="str">
        <x:v>Primary cells compared</x:v>
      </x:c>
      <x:c r="B12" s="20" t="n">
        <x:v>150</x:v>
      </x:c>
    </x:row>
    <x:row r="13" ht="15" hidden="0" customHeight="1">
      <x:c r="A13" s="16" t="str">
        <x:v>Operationalized exact agreement</x:v>
      </x:c>
      <x:c r="B13" s="16" t="str">
        <x:v>78.0%</x:v>
      </x:c>
    </x:row>
    <x:row r="14" ht="15" hidden="0" customHeight="1">
      <x:c r="A14" s="20" t="str">
        <x:v>Operationalized Cohen's kappa</x:v>
      </x:c>
      <x:c r="B14" s="20" t="n">
        <x:v>0.574</x:v>
      </x:c>
    </x:row>
    <x:row r="15" ht="26.399999618530273" hidden="0" customHeight="1">
      <x:c r="A15" s="20" t="str">
        <x:v>Operationalized linear-weighted kappa</x:v>
      </x:c>
      <x:c r="B15" s="20" t="n">
        <x:v>0.574</x:v>
      </x:c>
    </x:row>
    <x:row r="16" ht="15" hidden="0" customHeight="1">
      <x:c r="A16" s="20" t="str">
        <x:v>Monte Carlo mean rho (sigma=0.25)</x:v>
      </x:c>
      <x:c r="B16" s="20" t="n">
        <x:v>0.927</x:v>
      </x:c>
    </x:row>
    <x:row r="17" ht="15" hidden="0" customHeight="1">
      <x:c r="A17" s="20" t="str">
        <x:v>Monte Carlo mean rho (sigma=0.50)</x:v>
      </x:c>
      <x:c r="B17" s="20" t="n">
        <x:v>0.664</x:v>
      </x:c>
    </x:row>
    <x:row r="18" ht="15" hidden="0" customHeight="1">
      <x:c r="A18" s="20"/>
      <x:c r="B18" s="20"/>
    </x:row>
    <x:row r="19" ht="15" hidden="0" customHeight="1">
      <x:c r="A19" s="20" t="str">
        <x:v>Total Score</x:v>
      </x:c>
      <x:c r="B19" s="20" t="str">
        <x:v>Benchmark Count</x:v>
      </x:c>
    </x:row>
    <x:row r="20" ht="15" hidden="0" customHeight="1">
      <x:c r="A20" s="20" t="n">
        <x:v>11</x:v>
      </x:c>
      <x:c r="B20" s="20" t="n">
        <x:v>1</x:v>
      </x:c>
    </x:row>
    <x:row r="21" ht="15" hidden="0" customHeight="1">
      <x:c r="A21" s="20" t="n">
        <x:v>12</x:v>
      </x:c>
      <x:c r="B21" s="20" t="n">
        <x:v>1</x:v>
      </x:c>
    </x:row>
    <x:row r="22" ht="15" hidden="0" customHeight="1">
      <x:c r="A22" s="20" t="n">
        <x:v>13</x:v>
      </x:c>
      <x:c r="B22" s="20" t="n">
        <x:v>0</x:v>
      </x:c>
    </x:row>
    <x:row r="23" ht="15" hidden="0" customHeight="1">
      <x:c r="A23" s="20" t="n">
        <x:v>14</x:v>
      </x:c>
      <x:c r="B23" s="20" t="n">
        <x:v>0</x:v>
      </x:c>
    </x:row>
    <x:row r="24" ht="15" hidden="0" customHeight="1">
      <x:c r="A24" s="20" t="n">
        <x:v>15</x:v>
      </x:c>
      <x:c r="B24" s="20" t="n">
        <x:v>9</x:v>
      </x:c>
    </x:row>
    <x:row r="25" ht="15" hidden="0" customHeight="1">
      <x:c r="A25" s="20" t="n">
        <x:v>16</x:v>
      </x:c>
      <x:c r="B25" s="20" t="n">
        <x:v>8</x:v>
      </x:c>
    </x:row>
    <x:row r="26" ht="15" hidden="0" customHeight="1">
      <x:c r="A26" s="20" t="n">
        <x:v>17</x:v>
      </x:c>
      <x:c r="B26" s="20" t="n">
        <x:v>6</x:v>
      </x:c>
    </x:row>
    <x:row r="27" ht="15" hidden="0" customHeight="1">
      <x:c r="A27" s="20" t="n">
        <x:v>18</x:v>
      </x:c>
      <x:c r="B27" s="20" t="n">
        <x:v>2</x:v>
      </x:c>
    </x:row>
    <x:row r="28" ht="15" hidden="0" customHeight="1">
      <x:c r="A28" s="20" t="n">
        <x:v>19</x:v>
      </x:c>
      <x:c r="B28" s="20" t="n">
        <x:v>3</x:v>
      </x:c>
    </x:row>
    <x:row r="29" ht="15" hidden="0" customHeight="1">
      <x:c r="A29" s="20"/>
      <x:c r="B29" s="20"/>
    </x:row>
    <x:row r="30" ht="15" hidden="0" customHeight="1">
      <x:c r="A30" s="20"/>
      <x:c r="B30" s="20"/>
    </x:row>
    <x:row r="31" ht="52.79999923706055" hidden="0" customHeight="1">
      <x:c r="A31" s="20" t="str">
        <x:v>Canonical primary dataset</x:v>
      </x:c>
      <x:c r="B31" s="20" t="str">
        <x:v>30 benchmarks x 10 dimensions; mean 16.03; median 16; range 11-19</x:v>
      </x:c>
    </x:row>
    <x:row r="32" ht="26.399999618530273" hidden="0" customHeight="1">
      <x:c r="A32" s="20" t="str">
        <x:v>Sensitivity means</x:v>
      </x:c>
      <x:c r="B32" s="20" t="str">
        <x:v>Lenient 19.47; Operationalized 15.97</x:v>
      </x:c>
    </x:row>
    <x:row r="33" ht="26.399999618530273" hidden="0" customHeight="1">
      <x:c r="A33" s="20" t="str">
        <x:v>Operationalized rank concordance</x:v>
      </x:c>
      <x:c r="B33" s="20" t="str">
        <x:v>Spearman rho = 0.088 vs. primary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132a49350c4248b7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6" t="str">
        <x:v>Dimension</x:v>
      </x:c>
      <x:c r="B1" s="16" t="str">
        <x:v>Average Score</x:v>
      </x:c>
      <x:c r="C1" s="16" t="str">
        <x:v>Score=2 Count</x:v>
      </x:c>
      <x:c r="D1" s="16" t="str">
        <x:v>Score=1 Count</x:v>
      </x:c>
      <x:c r="E1" s="16" t="str">
        <x:v>Score=0 Count</x:v>
      </x:c>
      <x:c r="F1" s="16" t="str">
        <x:v>Absent %</x:v>
      </x:c>
      <x:c r="G1" s="16" t="str">
        <x:v>Missing/Partial %</x:v>
      </x:c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 t="str">
        <x:v>Items Public</x:v>
      </x:c>
      <x:c r="B2" s="32" t="n">
        <x:f>AVERAGE('Final Dataset'!$F$2:$F$31)</x:f>
        <x:v>2</x:v>
      </x:c>
      <x:c r="C2" s="20" t="n">
        <x:f>COUNTIF('Final Dataset'!$F$2:$F$31,2)</x:f>
        <x:v>30</x:v>
      </x:c>
      <x:c r="D2" s="20" t="n">
        <x:f>COUNTIF('Final Dataset'!$F$2:$F$31,1)</x:f>
        <x:v>0</x:v>
      </x:c>
      <x:c r="E2" s="20" t="n">
        <x:f>COUNTIF('Final Dataset'!$F$2:$F$31,0)</x:f>
        <x:v>0</x:v>
      </x:c>
      <x:c r="F2" s="33" t="n">
        <x:f>E2/30</x:f>
        <x:v>0</x:v>
      </x:c>
      <x:c r="G2" s="33" t="n">
        <x:f>(D2+E2)/30</x:f>
        <x:v>0</x:v>
      </x:c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 t="str">
        <x:v>Labels Public</x:v>
      </x:c>
      <x:c r="B3" s="32" t="n">
        <x:f>AVERAGE('Final Dataset'!$G$2:$G$31)</x:f>
        <x:v>2</x:v>
      </x:c>
      <x:c r="C3" s="20" t="n">
        <x:f>COUNTIF('Final Dataset'!$G$2:$G$31,2)</x:f>
        <x:v>30</x:v>
      </x:c>
      <x:c r="D3" s="20" t="n">
        <x:f>COUNTIF('Final Dataset'!$G$2:$G$31,1)</x:f>
        <x:v>0</x:v>
      </x:c>
      <x:c r="E3" s="20" t="n">
        <x:f>COUNTIF('Final Dataset'!$G$2:$G$31,0)</x:f>
        <x:v>0</x:v>
      </x:c>
      <x:c r="F3" s="33" t="n">
        <x:f>E3/30</x:f>
        <x:v>0</x:v>
      </x:c>
      <x:c r="G3" s="33" t="n">
        <x:f>(D3+E3)/30</x:f>
        <x:v>0</x:v>
      </x:c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str">
        <x:v>Scoring Method Public</x:v>
      </x:c>
      <x:c r="B4" s="32" t="n">
        <x:f>AVERAGE('Final Dataset'!$H$2:$H$31)</x:f>
        <x:v>1.9333333333333333</x:v>
      </x:c>
      <x:c r="C4" s="20" t="n">
        <x:f>COUNTIF('Final Dataset'!$H$2:$H$31,2)</x:f>
        <x:v>28</x:v>
      </x:c>
      <x:c r="D4" s="20" t="n">
        <x:f>COUNTIF('Final Dataset'!$H$2:$H$31,1)</x:f>
        <x:v>2</x:v>
      </x:c>
      <x:c r="E4" s="20" t="n">
        <x:f>COUNTIF('Final Dataset'!$H$2:$H$31,0)</x:f>
        <x:v>0</x:v>
      </x:c>
      <x:c r="F4" s="33" t="n">
        <x:f>E4/30</x:f>
        <x:v>0</x:v>
      </x:c>
      <x:c r="G4" s="33" t="n">
        <x:f>(D4+E4)/30</x:f>
        <x:v>0.06666666666666667</x:v>
      </x:c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str">
        <x:v>Evaluation Code Public</x:v>
      </x:c>
      <x:c r="B5" s="32" t="n">
        <x:f>AVERAGE('Final Dataset'!$I$2:$I$31)</x:f>
        <x:v>1.5333333333333334</x:v>
      </x:c>
      <x:c r="C5" s="20" t="n">
        <x:f>COUNTIF('Final Dataset'!$I$2:$I$31,2)</x:f>
        <x:v>16</x:v>
      </x:c>
      <x:c r="D5" s="20" t="n">
        <x:f>COUNTIF('Final Dataset'!$I$2:$I$31,1)</x:f>
        <x:v>14</x:v>
      </x:c>
      <x:c r="E5" s="20" t="n">
        <x:f>COUNTIF('Final Dataset'!$I$2:$I$31,0)</x:f>
        <x:v>0</x:v>
      </x:c>
      <x:c r="F5" s="33" t="n">
        <x:f>E5/30</x:f>
        <x:v>0</x:v>
      </x:c>
      <x:c r="G5" s="33" t="n">
        <x:f>(D5+E5)/30</x:f>
        <x:v>0.4666666666666667</x:v>
      </x:c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str">
        <x:v>Construct Defined</x:v>
      </x:c>
      <x:c r="B6" s="32" t="n">
        <x:f>AVERAGE('Final Dataset'!$J$2:$J$31)</x:f>
        <x:v>1.9666666666666666</x:v>
      </x:c>
      <x:c r="C6" s="20" t="n">
        <x:f>COUNTIF('Final Dataset'!$J$2:$J$31,2)</x:f>
        <x:v>29</x:v>
      </x:c>
      <x:c r="D6" s="20" t="n">
        <x:f>COUNTIF('Final Dataset'!$J$2:$J$31,1)</x:f>
        <x:v>1</x:v>
      </x:c>
      <x:c r="E6" s="20" t="n">
        <x:f>COUNTIF('Final Dataset'!$J$2:$J$31,0)</x:f>
        <x:v>0</x:v>
      </x:c>
      <x:c r="F6" s="33" t="n">
        <x:f>E6/30</x:f>
        <x:v>0</x:v>
      </x:c>
      <x:c r="G6" s="33" t="n">
        <x:f>(D6+E6)/30</x:f>
        <x:v>0.03333333333333333</x:v>
      </x:c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str">
        <x:v>Coverage Documented</x:v>
      </x:c>
      <x:c r="B7" s="32" t="n">
        <x:f>AVERAGE('Final Dataset'!$K$2:$K$31)</x:f>
        <x:v>1.8666666666666667</x:v>
      </x:c>
      <x:c r="C7" s="20" t="n">
        <x:f>COUNTIF('Final Dataset'!$K$2:$K$31,2)</x:f>
        <x:v>26</x:v>
      </x:c>
      <x:c r="D7" s="20" t="n">
        <x:f>COUNTIF('Final Dataset'!$K$2:$K$31,1)</x:f>
        <x:v>4</x:v>
      </x:c>
      <x:c r="E7" s="20" t="n">
        <x:f>COUNTIF('Final Dataset'!$K$2:$K$31,0)</x:f>
        <x:v>0</x:v>
      </x:c>
      <x:c r="F7" s="33" t="n">
        <x:f>E7/30</x:f>
        <x:v>0</x:v>
      </x:c>
      <x:c r="G7" s="33" t="n">
        <x:f>(D7+E7)/30</x:f>
        <x:v>0.13333333333333333</x:v>
      </x:c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 t="str">
        <x:v>Annotation Process Clear</x:v>
      </x:c>
      <x:c r="B8" s="32" t="n">
        <x:f>AVERAGE('Final Dataset'!$L$2:$L$31)</x:f>
        <x:v>1.1666666666666667</x:v>
      </x:c>
      <x:c r="C8" s="20" t="n">
        <x:f>COUNTIF('Final Dataset'!$L$2:$L$31,2)</x:f>
        <x:v>6</x:v>
      </x:c>
      <x:c r="D8" s="20" t="n">
        <x:f>COUNTIF('Final Dataset'!$L$2:$L$31,1)</x:f>
        <x:v>23</x:v>
      </x:c>
      <x:c r="E8" s="20" t="n">
        <x:f>COUNTIF('Final Dataset'!$L$2:$L$31,0)</x:f>
        <x:v>1</x:v>
      </x:c>
      <x:c r="F8" s="33" t="n">
        <x:f>E8/30</x:f>
        <x:v>0.03333333333333333</x:v>
      </x:c>
      <x:c r="G8" s="33" t="n">
        <x:f>(D8+E8)/30</x:f>
        <x:v>0.8</x:v>
      </x:c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 t="str">
        <x:v>Limitations Stated</x:v>
      </x:c>
      <x:c r="B9" s="32" t="n">
        <x:f>AVERAGE('Final Dataset'!$M$2:$M$31)</x:f>
        <x:v>1.3333333333333333</x:v>
      </x:c>
      <x:c r="C9" s="20" t="n">
        <x:f>COUNTIF('Final Dataset'!$M$2:$M$31,2)</x:f>
        <x:v>10</x:v>
      </x:c>
      <x:c r="D9" s="20" t="n">
        <x:f>COUNTIF('Final Dataset'!$M$2:$M$31,1)</x:f>
        <x:v>20</x:v>
      </x:c>
      <x:c r="E9" s="20" t="n">
        <x:f>COUNTIF('Final Dataset'!$M$2:$M$31,0)</x:f>
        <x:v>0</x:v>
      </x:c>
      <x:c r="F9" s="33" t="n">
        <x:f>E9/30</x:f>
        <x:v>0</x:v>
      </x:c>
      <x:c r="G9" s="33" t="n">
        <x:f>(D9+E9)/30</x:f>
        <x:v>0.6666666666666666</x:v>
      </x:c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 t="str">
        <x:v>Versioning/Maintenance</x:v>
      </x:c>
      <x:c r="B10" s="32" t="n">
        <x:f>AVERAGE('Final Dataset'!$N$2:$N$31)</x:f>
        <x:v>1.1666666666666667</x:v>
      </x:c>
      <x:c r="C10" s="20" t="n">
        <x:f>COUNTIF('Final Dataset'!$N$2:$N$31,2)</x:f>
        <x:v>5</x:v>
      </x:c>
      <x:c r="D10" s="20" t="n">
        <x:f>COUNTIF('Final Dataset'!$N$2:$N$31,1)</x:f>
        <x:v>25</x:v>
      </x:c>
      <x:c r="E10" s="20" t="n">
        <x:f>COUNTIF('Final Dataset'!$N$2:$N$31,0)</x:f>
        <x:v>0</x:v>
      </x:c>
      <x:c r="F10" s="33" t="n">
        <x:f>E10/30</x:f>
        <x:v>0</x:v>
      </x:c>
      <x:c r="G10" s="33" t="n">
        <x:f>(D10+E10)/30</x:f>
        <x:v>0.8333333333333334</x:v>
      </x:c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 t="str">
        <x:v>License/Reuse Clear</x:v>
      </x:c>
      <x:c r="B11" s="32" t="n">
        <x:f>AVERAGE('Final Dataset'!$O$2:$O$31)</x:f>
        <x:v>1.0666666666666667</x:v>
      </x:c>
      <x:c r="C11" s="20" t="n">
        <x:f>COUNTIF('Final Dataset'!$O$2:$O$31,2)</x:f>
        <x:v>3</x:v>
      </x:c>
      <x:c r="D11" s="20" t="n">
        <x:f>COUNTIF('Final Dataset'!$O$2:$O$31,1)</x:f>
        <x:v>26</x:v>
      </x:c>
      <x:c r="E11" s="20" t="n">
        <x:f>COUNTIF('Final Dataset'!$O$2:$O$31,0)</x:f>
        <x:v>1</x:v>
      </x:c>
      <x:c r="F11" s="33" t="n">
        <x:f>E11/30</x:f>
        <x:v>0.03333333333333333</x:v>
      </x:c>
      <x:c r="G11" s="33" t="n">
        <x:f>(D11+E11)/30</x:f>
        <x:v>0.9</x:v>
      </x:c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</x:sheetData>
  <x:conditionalFormatting sqref="B2:B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1a8966cad9e54031"/>
  <x:tableParts count="1">
    <x:tablePart xmlns:r="http://schemas.openxmlformats.org/officeDocument/2006/relationships" r:id="Rfb6750cb6ab043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6" t="str">
        <x:v>Category Group</x:v>
      </x:c>
      <x:c r="B1" s="16" t="str">
        <x:v>Benchmark Count</x:v>
      </x:c>
      <x:c r="C1" s="16" t="str">
        <x:v>Average Total Score</x:v>
      </x:c>
      <x:c r="D1" s="16" t="str">
        <x:v>Median</x:v>
      </x:c>
      <x:c r="E1" s="16" t="str">
        <x:v>Min</x:v>
      </x:c>
      <x:c r="F1" s="16" t="str">
        <x:v>Max</x:v>
      </x:c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 t="str">
        <x:v>Bias / fairness</x:v>
      </x:c>
      <x:c r="B2" s="20" t="n">
        <x:f>COUNTIF('Final Dataset'!$B$2:$B$31,A2)</x:f>
        <x:v>12</x:v>
      </x:c>
      <x:c r="C2" s="32" t="n">
        <x:f>AVERAGEIF('Final Dataset'!$B$2:$B$31,A2,'Final Dataset'!$P$2:$P$31)</x:f>
        <x:v>15.083333333333334</x:v>
      </x:c>
      <x:c r="D2" s="20" t="n">
        <x:v>15</x:v>
      </x:c>
      <x:c r="E2" s="20" t="n">
        <x:v>12</x:v>
      </x:c>
      <x:c r="F2" s="20" t="n">
        <x:v>16</x:v>
      </x:c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 t="str">
        <x:v>Ethics / values</x:v>
      </x:c>
      <x:c r="B3" s="20" t="n">
        <x:f>COUNTIF('Final Dataset'!$B$2:$B$31,A3)</x:f>
        <x:v>1</x:v>
      </x:c>
      <x:c r="C3" s="32" t="n">
        <x:f>AVERAGEIF('Final Dataset'!$B$2:$B$31,A3,'Final Dataset'!$P$2:$P$31)</x:f>
        <x:v>16</x:v>
      </x:c>
      <x:c r="D3" s="20" t="n">
        <x:v>16</x:v>
      </x:c>
      <x:c r="E3" s="20" t="n">
        <x:v>16</x:v>
      </x:c>
      <x:c r="F3" s="20" t="n">
        <x:v>16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str">
        <x:v>Holistic / trustworthiness</x:v>
      </x:c>
      <x:c r="B4" s="20" t="n">
        <x:f>COUNTIF('Final Dataset'!$B$2:$B$31,A4)</x:f>
        <x:v>4</x:v>
      </x:c>
      <x:c r="C4" s="32" t="n">
        <x:f>AVERAGEIF('Final Dataset'!$B$2:$B$31,A4,'Final Dataset'!$P$2:$P$31)</x:f>
        <x:v>17.75</x:v>
      </x:c>
      <x:c r="D4" s="20" t="n">
        <x:v>18</x:v>
      </x:c>
      <x:c r="E4" s="20" t="n">
        <x:v>16</x:v>
      </x:c>
      <x:c r="F4" s="20" t="n">
        <x:v>19</x:v>
      </x:c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str">
        <x:v>Safety / harmfulness</x:v>
      </x:c>
      <x:c r="B5" s="20" t="n">
        <x:f>COUNTIF('Final Dataset'!$B$2:$B$31,A5)</x:f>
        <x:v>7</x:v>
      </x:c>
      <x:c r="C5" s="32" t="n">
        <x:f>AVERAGEIF('Final Dataset'!$B$2:$B$31,A5,'Final Dataset'!$P$2:$P$31)</x:f>
        <x:v>16.285714285714285</x:v>
      </x:c>
      <x:c r="D5" s="20" t="n">
        <x:v>17</x:v>
      </x:c>
      <x:c r="E5" s="20" t="n">
        <x:v>11</x:v>
      </x:c>
      <x:c r="F5" s="20" t="n">
        <x:v>18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str">
        <x:v>Toxicity / hate</x:v>
      </x:c>
      <x:c r="B6" s="20" t="n">
        <x:f>COUNTIF('Final Dataset'!$B$2:$B$31,A6)</x:f>
        <x:v>4</x:v>
      </x:c>
      <x:c r="C6" s="32" t="n">
        <x:f>AVERAGEIF('Final Dataset'!$B$2:$B$31,A6,'Final Dataset'!$P$2:$P$31)</x:f>
        <x:v>16.75</x:v>
      </x:c>
      <x:c r="D6" s="20" t="n">
        <x:v>16.5</x:v>
      </x:c>
      <x:c r="E6" s="20" t="n">
        <x:v>15</x:v>
      </x:c>
      <x:c r="F6" s="20" t="n">
        <x:v>19</x:v>
      </x:c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str">
        <x:v>Truthfulness / hallucination</x:v>
      </x:c>
      <x:c r="B7" s="20" t="n">
        <x:f>COUNTIF('Final Dataset'!$B$2:$B$31,A7)</x:f>
        <x:v>2</x:v>
      </x:c>
      <x:c r="C7" s="32" t="n">
        <x:f>AVERAGEIF('Final Dataset'!$B$2:$B$31,A7,'Final Dataset'!$P$2:$P$31)</x:f>
        <x:v>16</x:v>
      </x:c>
      <x:c r="D7" s="20" t="n">
        <x:v>16</x:v>
      </x:c>
      <x:c r="E7" s="20" t="n">
        <x:v>15</x:v>
      </x:c>
      <x:c r="F7" s="20" t="n">
        <x:v>17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</x:sheetData>
  <x:conditionalFormatting sqref="C2:C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0250b7e6b3f74869"/>
  <x:tableParts count="1">
    <x:tablePart xmlns:r="http://schemas.openxmlformats.org/officeDocument/2006/relationships" r:id="R7559640bd25740f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6" t="str">
        <x:v>Rank</x:v>
      </x:c>
      <x:c r="B1" s="16" t="str">
        <x:v>Benchmark</x:v>
      </x:c>
      <x:c r="C1" s="16" t="str">
        <x:v>Category Group</x:v>
      </x:c>
      <x:c r="D1" s="16" t="str">
        <x:v>Total Score</x:v>
      </x:c>
      <x:c r="E1" s="16" t="str">
        <x:v>Group</x:v>
      </x:c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 t="n">
        <x:v>1</x:v>
      </x:c>
      <x:c r="B2" s="20" t="str">
        <x:v>HELM</x:v>
      </x:c>
      <x:c r="C2" s="20" t="str">
        <x:v>Holistic / trustworthiness</x:v>
      </x:c>
      <x:c r="D2" s="20" t="n">
        <x:v>19</x:v>
      </x:c>
      <x:c r="E2" s="20" t="str">
        <x:v>Top 5</x:v>
      </x:c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 t="n">
        <x:v>2</x:v>
      </x:c>
      <x:c r="B3" s="20" t="str">
        <x:v>HateCheck</x:v>
      </x:c>
      <x:c r="C3" s="20" t="str">
        <x:v>Toxicity / hate</x:v>
      </x:c>
      <x:c r="D3" s="20" t="n">
        <x:v>19</x:v>
      </x:c>
      <x:c r="E3" s="20" t="str">
        <x:v>Top 5</x:v>
      </x:c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n">
        <x:v>3</x:v>
      </x:c>
      <x:c r="B4" s="20" t="str">
        <x:v>VHELM</x:v>
      </x:c>
      <x:c r="C4" s="20" t="str">
        <x:v>Holistic / trustworthiness</x:v>
      </x:c>
      <x:c r="D4" s="20" t="n">
        <x:v>19</x:v>
      </x:c>
      <x:c r="E4" s="20" t="str">
        <x:v>Top 5</x:v>
      </x:c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n">
        <x:v>4</x:v>
      </x:c>
      <x:c r="B5" s="20" t="str">
        <x:v>JailbreakBench</x:v>
      </x:c>
      <x:c r="C5" s="20" t="str">
        <x:v>Safety / harmfulness</x:v>
      </x:c>
      <x:c r="D5" s="20" t="n">
        <x:v>18</x:v>
      </x:c>
      <x:c r="E5" s="20" t="str">
        <x:v>Top 5</x:v>
      </x:c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n">
        <x:v>5</x:v>
      </x:c>
      <x:c r="B6" s="20" t="str">
        <x:v>XSTest</x:v>
      </x:c>
      <x:c r="C6" s="20" t="str">
        <x:v>Safety / harmfulness</x:v>
      </x:c>
      <x:c r="D6" s="20" t="n">
        <x:v>18</x:v>
      </x:c>
      <x:c r="E6" s="20" t="str">
        <x:v>Top 5</x:v>
      </x:c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n">
        <x:v>1</x:v>
      </x:c>
      <x:c r="B7" s="20" t="str">
        <x:v>AdvBench</x:v>
      </x:c>
      <x:c r="C7" s="20" t="str">
        <x:v>Safety / harmfulness</x:v>
      </x:c>
      <x:c r="D7" s="20" t="n">
        <x:v>11</x:v>
      </x:c>
      <x:c r="E7" s="20" t="str">
        <x:v>Bottom 5</x:v>
      </x:c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 t="n">
        <x:v>2</x:v>
      </x:c>
      <x:c r="B8" s="20" t="str">
        <x:v>CivilComments / Jigsaw Unintended Bias</x:v>
      </x:c>
      <x:c r="C8" s="20" t="str">
        <x:v>Bias / fairness</x:v>
      </x:c>
      <x:c r="D8" s="20" t="n">
        <x:v>12</x:v>
      </x:c>
      <x:c r="E8" s="20" t="str">
        <x:v>Bottom 5</x:v>
      </x:c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 t="n">
        <x:v>3</x:v>
      </x:c>
      <x:c r="B9" s="20" t="str">
        <x:v>BOLD</x:v>
      </x:c>
      <x:c r="C9" s="20" t="str">
        <x:v>Bias / fairness</x:v>
      </x:c>
      <x:c r="D9" s="20" t="n">
        <x:v>15</x:v>
      </x:c>
      <x:c r="E9" s="20" t="str">
        <x:v>Bottom 5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 t="n">
        <x:v>4</x:v>
      </x:c>
      <x:c r="B10" s="20" t="str">
        <x:v>CEB</x:v>
      </x:c>
      <x:c r="C10" s="20" t="str">
        <x:v>Bias / fairness</x:v>
      </x:c>
      <x:c r="D10" s="20" t="n">
        <x:v>15</x:v>
      </x:c>
      <x:c r="E10" s="20" t="str">
        <x:v>Bottom 5</x:v>
      </x:c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 t="n">
        <x:v>5</x:v>
      </x:c>
      <x:c r="B11" s="20" t="str">
        <x:v>CrowS-Pairs</x:v>
      </x:c>
      <x:c r="C11" s="20" t="str">
        <x:v>Bias / fairness</x:v>
      </x:c>
      <x:c r="D11" s="20" t="n">
        <x:v>15</x:v>
      </x:c>
      <x:c r="E11" s="20" t="str">
        <x:v>Bottom 5</x:v>
      </x:c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</x:sheetData>
  <x:conditionalFormatting sqref="D2:D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1c2bd372b0341a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6" t="str">
        <x:v>Benchmark</x:v>
      </x:c>
      <x:c r="B1" s="16" t="str">
        <x:v>Category Group</x:v>
      </x:c>
      <x:c r="C1" s="16" t="str">
        <x:v>Items Public</x:v>
      </x:c>
      <x:c r="D1" s="16" t="str">
        <x:v>Labels Public</x:v>
      </x:c>
      <x:c r="E1" s="16" t="str">
        <x:v>Scoring Method Public</x:v>
      </x:c>
      <x:c r="F1" s="16" t="str">
        <x:v>Evaluation Code Public</x:v>
      </x:c>
      <x:c r="G1" s="16" t="str">
        <x:v>Construct Defined</x:v>
      </x:c>
      <x:c r="H1" s="16" t="str">
        <x:v>Coverage Documented</x:v>
      </x:c>
      <x:c r="I1" s="16" t="str">
        <x:v>Annotation Process Clear</x:v>
      </x:c>
      <x:c r="J1" s="16" t="str">
        <x:v>Limitations Stated</x:v>
      </x:c>
      <x:c r="K1" s="16" t="str">
        <x:v>Versioning/Maintenance</x:v>
      </x:c>
      <x:c r="L1" s="16" t="str">
        <x:v>License/Reuse Clear</x:v>
      </x:c>
      <x:c r="M1" s="16" t="str">
        <x:v>Total Score</x:v>
      </x:c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20" t="str">
        <x:v>HELM</x:v>
      </x:c>
      <x:c r="B2" s="20" t="str">
        <x:v>Holistic / trustworthiness</x:v>
      </x:c>
      <x:c r="C2" s="22" t="n">
        <x:v>2</x:v>
      </x:c>
      <x:c r="D2" s="22" t="n">
        <x:v>2</x:v>
      </x:c>
      <x:c r="E2" s="22" t="n">
        <x:v>2</x:v>
      </x:c>
      <x:c r="F2" s="22" t="n">
        <x:v>2</x:v>
      </x:c>
      <x:c r="G2" s="22" t="n">
        <x:v>2</x:v>
      </x:c>
      <x:c r="H2" s="22" t="n">
        <x:v>2</x:v>
      </x:c>
      <x:c r="I2" s="22" t="n">
        <x:v>1</x:v>
      </x:c>
      <x:c r="J2" s="22" t="n">
        <x:v>2</x:v>
      </x:c>
      <x:c r="K2" s="22" t="n">
        <x:v>2</x:v>
      </x:c>
      <x:c r="L2" s="22" t="n">
        <x:v>2</x:v>
      </x:c>
      <x:c r="M2" s="20" t="n">
        <x:v>19</x:v>
      </x:c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 t="str">
        <x:v>VHELM</x:v>
      </x:c>
      <x:c r="B3" s="20" t="str">
        <x:v>Holistic / trustworthiness</x:v>
      </x:c>
      <x:c r="C3" s="22" t="n">
        <x:v>2</x:v>
      </x:c>
      <x:c r="D3" s="22" t="n">
        <x:v>2</x:v>
      </x:c>
      <x:c r="E3" s="22" t="n">
        <x:v>2</x:v>
      </x:c>
      <x:c r="F3" s="22" t="n">
        <x:v>2</x:v>
      </x:c>
      <x:c r="G3" s="22" t="n">
        <x:v>2</x:v>
      </x:c>
      <x:c r="H3" s="22" t="n">
        <x:v>2</x:v>
      </x:c>
      <x:c r="I3" s="22" t="n">
        <x:v>1</x:v>
      </x:c>
      <x:c r="J3" s="22" t="n">
        <x:v>2</x:v>
      </x:c>
      <x:c r="K3" s="22" t="n">
        <x:v>2</x:v>
      </x:c>
      <x:c r="L3" s="22" t="n">
        <x:v>2</x:v>
      </x:c>
      <x:c r="M3" s="20" t="n">
        <x:v>19</x:v>
      </x:c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 t="str">
        <x:v>BBQ</x:v>
      </x:c>
      <x:c r="B4" s="20" t="str">
        <x:v>Bias / fairness</x:v>
      </x:c>
      <x:c r="C4" s="22" t="n">
        <x:v>2</x:v>
      </x:c>
      <x:c r="D4" s="22" t="n">
        <x:v>2</x:v>
      </x:c>
      <x:c r="E4" s="22" t="n">
        <x:v>2</x:v>
      </x:c>
      <x:c r="F4" s="22" t="n">
        <x:v>1</x:v>
      </x:c>
      <x:c r="G4" s="22" t="n">
        <x:v>2</x:v>
      </x:c>
      <x:c r="H4" s="22" t="n">
        <x:v>2</x:v>
      </x:c>
      <x:c r="I4" s="22" t="n">
        <x:v>1</x:v>
      </x:c>
      <x:c r="J4" s="22" t="n">
        <x:v>2</x:v>
      </x:c>
      <x:c r="K4" s="22" t="n">
        <x:v>1</x:v>
      </x:c>
      <x:c r="L4" s="22" t="n">
        <x:v>1</x:v>
      </x:c>
      <x:c r="M4" s="20" t="n">
        <x:v>16</x:v>
      </x:c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 t="str">
        <x:v>TruthfulQA</x:v>
      </x:c>
      <x:c r="B5" s="20" t="str">
        <x:v>Truthfulness / hallucination</x:v>
      </x:c>
      <x:c r="C5" s="22" t="n">
        <x:v>2</x:v>
      </x:c>
      <x:c r="D5" s="22" t="n">
        <x:v>2</x:v>
      </x:c>
      <x:c r="E5" s="22" t="n">
        <x:v>2</x:v>
      </x:c>
      <x:c r="F5" s="22" t="n">
        <x:v>2</x:v>
      </x:c>
      <x:c r="G5" s="22" t="n">
        <x:v>2</x:v>
      </x:c>
      <x:c r="H5" s="22" t="n">
        <x:v>2</x:v>
      </x:c>
      <x:c r="I5" s="22" t="n">
        <x:v>1</x:v>
      </x:c>
      <x:c r="J5" s="22" t="n">
        <x:v>1</x:v>
      </x:c>
      <x:c r="K5" s="22" t="n">
        <x:v>2</x:v>
      </x:c>
      <x:c r="L5" s="22" t="n">
        <x:v>1</x:v>
      </x:c>
      <x:c r="M5" s="20" t="n">
        <x:v>17</x:v>
      </x:c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</x:row>
    <x:row r="6">
      <x:c r="A6" s="20" t="str">
        <x:v>RealToxicityPrompts</x:v>
      </x:c>
      <x:c r="B6" s="20" t="str">
        <x:v>Toxicity / hate</x:v>
      </x:c>
      <x:c r="C6" s="22" t="n">
        <x:v>2</x:v>
      </x:c>
      <x:c r="D6" s="22" t="n">
        <x:v>2</x:v>
      </x:c>
      <x:c r="E6" s="22" t="n">
        <x:v>2</x:v>
      </x:c>
      <x:c r="F6" s="22" t="n">
        <x:v>2</x:v>
      </x:c>
      <x:c r="G6" s="22" t="n">
        <x:v>2</x:v>
      </x:c>
      <x:c r="H6" s="22" t="n">
        <x:v>1</x:v>
      </x:c>
      <x:c r="I6" s="22" t="n">
        <x:v>1</x:v>
      </x:c>
      <x:c r="J6" s="22" t="n">
        <x:v>2</x:v>
      </x:c>
      <x:c r="K6" s="22" t="n">
        <x:v>1</x:v>
      </x:c>
      <x:c r="L6" s="22" t="n">
        <x:v>1</x:v>
      </x:c>
      <x:c r="M6" s="20" t="n">
        <x:v>16</x:v>
      </x:c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</x:row>
    <x:row r="7">
      <x:c r="A7" s="20" t="str">
        <x:v>StereoSet</x:v>
      </x:c>
      <x:c r="B7" s="20" t="str">
        <x:v>Bias / fairness</x:v>
      </x:c>
      <x:c r="C7" s="22" t="n">
        <x:v>2</x:v>
      </x:c>
      <x:c r="D7" s="22" t="n">
        <x:v>2</x:v>
      </x:c>
      <x:c r="E7" s="22" t="n">
        <x:v>2</x:v>
      </x:c>
      <x:c r="F7" s="22" t="n">
        <x:v>2</x:v>
      </x:c>
      <x:c r="G7" s="22" t="n">
        <x:v>2</x:v>
      </x:c>
      <x:c r="H7" s="22" t="n">
        <x:v>2</x:v>
      </x:c>
      <x:c r="I7" s="22" t="n">
        <x:v>1</x:v>
      </x:c>
      <x:c r="J7" s="22" t="n">
        <x:v>1</x:v>
      </x:c>
      <x:c r="K7" s="22" t="n">
        <x:v>1</x:v>
      </x:c>
      <x:c r="L7" s="22" t="n">
        <x:v>1</x:v>
      </x:c>
      <x:c r="M7" s="20" t="n">
        <x:v>16</x:v>
      </x:c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</x:row>
    <x:row r="8">
      <x:c r="A8" s="20" t="str">
        <x:v>CrowS-Pairs</x:v>
      </x:c>
      <x:c r="B8" s="20" t="str">
        <x:v>Bias / fairness</x:v>
      </x:c>
      <x:c r="C8" s="22" t="n">
        <x:v>2</x:v>
      </x:c>
      <x:c r="D8" s="22" t="n">
        <x:v>2</x:v>
      </x:c>
      <x:c r="E8" s="22" t="n">
        <x:v>2</x:v>
      </x:c>
      <x:c r="F8" s="22" t="n">
        <x:v>1</x:v>
      </x:c>
      <x:c r="G8" s="22" t="n">
        <x:v>2</x:v>
      </x:c>
      <x:c r="H8" s="22" t="n">
        <x:v>2</x:v>
      </x:c>
      <x:c r="I8" s="22" t="n">
        <x:v>1</x:v>
      </x:c>
      <x:c r="J8" s="22" t="n">
        <x:v>1</x:v>
      </x:c>
      <x:c r="K8" s="22" t="n">
        <x:v>1</x:v>
      </x:c>
      <x:c r="L8" s="22" t="n">
        <x:v>1</x:v>
      </x:c>
      <x:c r="M8" s="20" t="n">
        <x:v>15</x:v>
      </x:c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20"/>
      <x:c r="Z8" s="20"/>
    </x:row>
    <x:row r="9">
      <x:c r="A9" s="20" t="str">
        <x:v>BOLD</x:v>
      </x:c>
      <x:c r="B9" s="20" t="str">
        <x:v>Bias / fairness</x:v>
      </x:c>
      <x:c r="C9" s="22" t="n">
        <x:v>2</x:v>
      </x:c>
      <x:c r="D9" s="22" t="n">
        <x:v>2</x:v>
      </x:c>
      <x:c r="E9" s="22" t="n">
        <x:v>2</x:v>
      </x:c>
      <x:c r="F9" s="22" t="n">
        <x:v>1</x:v>
      </x:c>
      <x:c r="G9" s="22" t="n">
        <x:v>2</x:v>
      </x:c>
      <x:c r="H9" s="22" t="n">
        <x:v>2</x:v>
      </x:c>
      <x:c r="I9" s="22" t="n">
        <x:v>1</x:v>
      </x:c>
      <x:c r="J9" s="22" t="n">
        <x:v>1</x:v>
      </x:c>
      <x:c r="K9" s="22" t="n">
        <x:v>1</x:v>
      </x:c>
      <x:c r="L9" s="22" t="n">
        <x:v>1</x:v>
      </x:c>
      <x:c r="M9" s="20" t="n">
        <x:v>15</x:v>
      </x:c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</x:row>
    <x:row r="10">
      <x:c r="A10" s="20" t="str">
        <x:v>ToxiGen</x:v>
      </x:c>
      <x:c r="B10" s="20" t="str">
        <x:v>Toxicity / hate</x:v>
      </x:c>
      <x:c r="C10" s="22" t="n">
        <x:v>2</x:v>
      </x:c>
      <x:c r="D10" s="22" t="n">
        <x:v>2</x:v>
      </x:c>
      <x:c r="E10" s="22" t="n">
        <x:v>2</x:v>
      </x:c>
      <x:c r="F10" s="22" t="n">
        <x:v>2</x:v>
      </x:c>
      <x:c r="G10" s="22" t="n">
        <x:v>2</x:v>
      </x:c>
      <x:c r="H10" s="22" t="n">
        <x:v>2</x:v>
      </x:c>
      <x:c r="I10" s="22" t="n">
        <x:v>2</x:v>
      </x:c>
      <x:c r="J10" s="22" t="n">
        <x:v>1</x:v>
      </x:c>
      <x:c r="K10" s="22" t="n">
        <x:v>1</x:v>
      </x:c>
      <x:c r="L10" s="22" t="n">
        <x:v>1</x:v>
      </x:c>
      <x:c r="M10" s="20" t="n">
        <x:v>17</x:v>
      </x:c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 t="str">
        <x:v>HateCheck</x:v>
      </x:c>
      <x:c r="B11" s="20" t="str">
        <x:v>Toxicity / hate</x:v>
      </x:c>
      <x:c r="C11" s="22" t="n">
        <x:v>2</x:v>
      </x:c>
      <x:c r="D11" s="22" t="n">
        <x:v>2</x:v>
      </x:c>
      <x:c r="E11" s="22" t="n">
        <x:v>2</x:v>
      </x:c>
      <x:c r="F11" s="22" t="n">
        <x:v>2</x:v>
      </x:c>
      <x:c r="G11" s="22" t="n">
        <x:v>2</x:v>
      </x:c>
      <x:c r="H11" s="22" t="n">
        <x:v>2</x:v>
      </x:c>
      <x:c r="I11" s="22" t="n">
        <x:v>2</x:v>
      </x:c>
      <x:c r="J11" s="22" t="n">
        <x:v>2</x:v>
      </x:c>
      <x:c r="K11" s="22" t="n">
        <x:v>1</x:v>
      </x:c>
      <x:c r="L11" s="22" t="n">
        <x:v>2</x:v>
      </x:c>
      <x:c r="M11" s="20" t="n">
        <x:v>19</x:v>
      </x:c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</x:row>
    <x:row r="12">
      <x:c r="A12" s="20" t="str">
        <x:v>ToxicChat</x:v>
      </x:c>
      <x:c r="B12" s="20" t="str">
        <x:v>Toxicity / hate</x:v>
      </x:c>
      <x:c r="C12" s="22" t="n">
        <x:v>2</x:v>
      </x:c>
      <x:c r="D12" s="22" t="n">
        <x:v>2</x:v>
      </x:c>
      <x:c r="E12" s="22" t="n">
        <x:v>2</x:v>
      </x:c>
      <x:c r="F12" s="22" t="n">
        <x:v>1</x:v>
      </x:c>
      <x:c r="G12" s="22" t="n">
        <x:v>2</x:v>
      </x:c>
      <x:c r="H12" s="22" t="n">
        <x:v>1</x:v>
      </x:c>
      <x:c r="I12" s="22" t="n">
        <x:v>2</x:v>
      </x:c>
      <x:c r="J12" s="22" t="n">
        <x:v>1</x:v>
      </x:c>
      <x:c r="K12" s="22" t="n">
        <x:v>1</x:v>
      </x:c>
      <x:c r="L12" s="22" t="n">
        <x:v>1</x:v>
      </x:c>
      <x:c r="M12" s="20" t="n">
        <x:v>15</x:v>
      </x:c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</x:row>
    <x:row r="13">
      <x:c r="A13" s="20" t="str">
        <x:v>XSTest</x:v>
      </x:c>
      <x:c r="B13" s="20" t="str">
        <x:v>Safety / harmfulness</x:v>
      </x:c>
      <x:c r="C13" s="22" t="n">
        <x:v>2</x:v>
      </x:c>
      <x:c r="D13" s="22" t="n">
        <x:v>2</x:v>
      </x:c>
      <x:c r="E13" s="22" t="n">
        <x:v>2</x:v>
      </x:c>
      <x:c r="F13" s="22" t="n">
        <x:v>2</x:v>
      </x:c>
      <x:c r="G13" s="22" t="n">
        <x:v>2</x:v>
      </x:c>
      <x:c r="H13" s="22" t="n">
        <x:v>2</x:v>
      </x:c>
      <x:c r="I13" s="22" t="n">
        <x:v>2</x:v>
      </x:c>
      <x:c r="J13" s="22" t="n">
        <x:v>2</x:v>
      </x:c>
      <x:c r="K13" s="22" t="n">
        <x:v>1</x:v>
      </x:c>
      <x:c r="L13" s="22" t="n">
        <x:v>1</x:v>
      </x:c>
      <x:c r="M13" s="20" t="n">
        <x:v>18</x:v>
      </x:c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</x:row>
    <x:row r="14">
      <x:c r="A14" s="20" t="str">
        <x:v>Do-Not-Answer</x:v>
      </x:c>
      <x:c r="B14" s="20" t="str">
        <x:v>Safety / harmfulness</x:v>
      </x:c>
      <x:c r="C14" s="22" t="n">
        <x:v>2</x:v>
      </x:c>
      <x:c r="D14" s="22" t="n">
        <x:v>2</x:v>
      </x:c>
      <x:c r="E14" s="22" t="n">
        <x:v>2</x:v>
      </x:c>
      <x:c r="F14" s="22" t="n">
        <x:v>1</x:v>
      </x:c>
      <x:c r="G14" s="22" t="n">
        <x:v>2</x:v>
      </x:c>
      <x:c r="H14" s="22" t="n">
        <x:v>2</x:v>
      </x:c>
      <x:c r="I14" s="22" t="n">
        <x:v>2</x:v>
      </x:c>
      <x:c r="J14" s="22" t="n">
        <x:v>2</x:v>
      </x:c>
      <x:c r="K14" s="22" t="n">
        <x:v>1</x:v>
      </x:c>
      <x:c r="L14" s="22" t="n">
        <x:v>1</x:v>
      </x:c>
      <x:c r="M14" s="20" t="n">
        <x:v>17</x:v>
      </x:c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</x:row>
    <x:row r="15">
      <x:c r="A15" s="20" t="str">
        <x:v>SafetyBench</x:v>
      </x:c>
      <x:c r="B15" s="20" t="str">
        <x:v>Safety / harmfulness</x:v>
      </x:c>
      <x:c r="C15" s="22" t="n">
        <x:v>2</x:v>
      </x:c>
      <x:c r="D15" s="22" t="n">
        <x:v>2</x:v>
      </x:c>
      <x:c r="E15" s="22" t="n">
        <x:v>2</x:v>
      </x:c>
      <x:c r="F15" s="22" t="n">
        <x:v>2</x:v>
      </x:c>
      <x:c r="G15" s="22" t="n">
        <x:v>2</x:v>
      </x:c>
      <x:c r="H15" s="22" t="n">
        <x:v>2</x:v>
      </x:c>
      <x:c r="I15" s="22" t="n">
        <x:v>1</x:v>
      </x:c>
      <x:c r="J15" s="22" t="n">
        <x:v>1</x:v>
      </x:c>
      <x:c r="K15" s="22" t="n">
        <x:v>1</x:v>
      </x:c>
      <x:c r="L15" s="22" t="n">
        <x:v>1</x:v>
      </x:c>
      <x:c r="M15" s="20" t="n">
        <x:v>16</x:v>
      </x:c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</x:row>
    <x:row r="16">
      <x:c r="A16" s="20" t="str">
        <x:v>HarmBench</x:v>
      </x:c>
      <x:c r="B16" s="20" t="str">
        <x:v>Safety / harmfulness</x:v>
      </x:c>
      <x:c r="C16" s="22" t="n">
        <x:v>2</x:v>
      </x:c>
      <x:c r="D16" s="22" t="n">
        <x:v>2</x:v>
      </x:c>
      <x:c r="E16" s="22" t="n">
        <x:v>2</x:v>
      </x:c>
      <x:c r="F16" s="22" t="n">
        <x:v>2</x:v>
      </x:c>
      <x:c r="G16" s="22" t="n">
        <x:v>2</x:v>
      </x:c>
      <x:c r="H16" s="22" t="n">
        <x:v>2</x:v>
      </x:c>
      <x:c r="I16" s="22" t="n">
        <x:v>1</x:v>
      </x:c>
      <x:c r="J16" s="22" t="n">
        <x:v>2</x:v>
      </x:c>
      <x:c r="K16" s="22" t="n">
        <x:v>1</x:v>
      </x:c>
      <x:c r="L16" s="22" t="n">
        <x:v>1</x:v>
      </x:c>
      <x:c r="M16" s="20" t="n">
        <x:v>17</x:v>
      </x:c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</x:row>
    <x:row r="17">
      <x:c r="A17" s="20" t="str">
        <x:v>JailbreakBench</x:v>
      </x:c>
      <x:c r="B17" s="20" t="str">
        <x:v>Safety / harmfulness</x:v>
      </x:c>
      <x:c r="C17" s="22" t="n">
        <x:v>2</x:v>
      </x:c>
      <x:c r="D17" s="22" t="n">
        <x:v>2</x:v>
      </x:c>
      <x:c r="E17" s="22" t="n">
        <x:v>2</x:v>
      </x:c>
      <x:c r="F17" s="22" t="n">
        <x:v>2</x:v>
      </x:c>
      <x:c r="G17" s="22" t="n">
        <x:v>2</x:v>
      </x:c>
      <x:c r="H17" s="22" t="n">
        <x:v>2</x:v>
      </x:c>
      <x:c r="I17" s="22" t="n">
        <x:v>1</x:v>
      </x:c>
      <x:c r="J17" s="22" t="n">
        <x:v>2</x:v>
      </x:c>
      <x:c r="K17" s="22" t="n">
        <x:v>2</x:v>
      </x:c>
      <x:c r="L17" s="22" t="n">
        <x:v>1</x:v>
      </x:c>
      <x:c r="M17" s="20" t="n">
        <x:v>18</x:v>
      </x:c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</x:row>
    <x:row r="18">
      <x:c r="A18" s="20" t="str">
        <x:v>BeaverTails</x:v>
      </x:c>
      <x:c r="B18" s="20" t="str">
        <x:v>Safety / harmfulness</x:v>
      </x:c>
      <x:c r="C18" s="22" t="n">
        <x:v>2</x:v>
      </x:c>
      <x:c r="D18" s="22" t="n">
        <x:v>2</x:v>
      </x:c>
      <x:c r="E18" s="22" t="n">
        <x:v>2</x:v>
      </x:c>
      <x:c r="F18" s="22" t="n">
        <x:v>1</x:v>
      </x:c>
      <x:c r="G18" s="22" t="n">
        <x:v>2</x:v>
      </x:c>
      <x:c r="H18" s="22" t="n">
        <x:v>2</x:v>
      </x:c>
      <x:c r="I18" s="22" t="n">
        <x:v>2</x:v>
      </x:c>
      <x:c r="J18" s="22" t="n">
        <x:v>1</x:v>
      </x:c>
      <x:c r="K18" s="22" t="n">
        <x:v>2</x:v>
      </x:c>
      <x:c r="L18" s="22" t="n">
        <x:v>1</x:v>
      </x:c>
      <x:c r="M18" s="20" t="n">
        <x:v>17</x:v>
      </x:c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</x:row>
    <x:row r="19">
      <x:c r="A19" s="20" t="str">
        <x:v>TrustLLM</x:v>
      </x:c>
      <x:c r="B19" s="20" t="str">
        <x:v>Holistic / trustworthiness</x:v>
      </x:c>
      <x:c r="C19" s="22" t="n">
        <x:v>2</x:v>
      </x:c>
      <x:c r="D19" s="22" t="n">
        <x:v>2</x:v>
      </x:c>
      <x:c r="E19" s="22" t="n">
        <x:v>2</x:v>
      </x:c>
      <x:c r="F19" s="22" t="n">
        <x:v>2</x:v>
      </x:c>
      <x:c r="G19" s="22" t="n">
        <x:v>2</x:v>
      </x:c>
      <x:c r="H19" s="22" t="n">
        <x:v>2</x:v>
      </x:c>
      <x:c r="I19" s="22" t="n">
        <x:v>1</x:v>
      </x:c>
      <x:c r="J19" s="22" t="n">
        <x:v>2</x:v>
      </x:c>
      <x:c r="K19" s="22" t="n">
        <x:v>1</x:v>
      </x:c>
      <x:c r="L19" s="22" t="n">
        <x:v>1</x:v>
      </x:c>
      <x:c r="M19" s="20" t="n">
        <x:v>17</x:v>
      </x:c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</x:row>
    <x:row r="20">
      <x:c r="A20" s="20" t="str">
        <x:v>DecodingTrust</x:v>
      </x:c>
      <x:c r="B20" s="20" t="str">
        <x:v>Holistic / trustworthiness</x:v>
      </x:c>
      <x:c r="C20" s="22" t="n">
        <x:v>2</x:v>
      </x:c>
      <x:c r="D20" s="22" t="n">
        <x:v>2</x:v>
      </x:c>
      <x:c r="E20" s="22" t="n">
        <x:v>2</x:v>
      </x:c>
      <x:c r="F20" s="22" t="n">
        <x:v>2</x:v>
      </x:c>
      <x:c r="G20" s="22" t="n">
        <x:v>2</x:v>
      </x:c>
      <x:c r="H20" s="22" t="n">
        <x:v>2</x:v>
      </x:c>
      <x:c r="I20" s="22" t="n">
        <x:v>1</x:v>
      </x:c>
      <x:c r="J20" s="22" t="n">
        <x:v>1</x:v>
      </x:c>
      <x:c r="K20" s="22" t="n">
        <x:v>1</x:v>
      </x:c>
      <x:c r="L20" s="22" t="n">
        <x:v>1</x:v>
      </x:c>
      <x:c r="M20" s="20" t="n">
        <x:v>16</x:v>
      </x:c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</x:row>
    <x:row r="21">
      <x:c r="A21" s="20" t="str">
        <x:v>CEB</x:v>
      </x:c>
      <x:c r="B21" s="20" t="str">
        <x:v>Bias / fairness</x:v>
      </x:c>
      <x:c r="C21" s="22" t="n">
        <x:v>2</x:v>
      </x:c>
      <x:c r="D21" s="22" t="n">
        <x:v>2</x:v>
      </x:c>
      <x:c r="E21" s="22" t="n">
        <x:v>2</x:v>
      </x:c>
      <x:c r="F21" s="22" t="n">
        <x:v>1</x:v>
      </x:c>
      <x:c r="G21" s="22" t="n">
        <x:v>2</x:v>
      </x:c>
      <x:c r="H21" s="22" t="n">
        <x:v>2</x:v>
      </x:c>
      <x:c r="I21" s="22" t="n">
        <x:v>1</x:v>
      </x:c>
      <x:c r="J21" s="22" t="n">
        <x:v>1</x:v>
      </x:c>
      <x:c r="K21" s="22" t="n">
        <x:v>1</x:v>
      </x:c>
      <x:c r="L21" s="22" t="n">
        <x:v>1</x:v>
      </x:c>
      <x:c r="M21" s="20" t="n">
        <x:v>15</x:v>
      </x:c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</x:row>
    <x:row r="22">
      <x:c r="A22" s="20" t="str">
        <x:v>HONEST</x:v>
      </x:c>
      <x:c r="B22" s="20" t="str">
        <x:v>Bias / fairness</x:v>
      </x:c>
      <x:c r="C22" s="22" t="n">
        <x:v>2</x:v>
      </x:c>
      <x:c r="D22" s="22" t="n">
        <x:v>2</x:v>
      </x:c>
      <x:c r="E22" s="22" t="n">
        <x:v>2</x:v>
      </x:c>
      <x:c r="F22" s="22" t="n">
        <x:v>2</x:v>
      </x:c>
      <x:c r="G22" s="22" t="n">
        <x:v>2</x:v>
      </x:c>
      <x:c r="H22" s="22" t="n">
        <x:v>2</x:v>
      </x:c>
      <x:c r="I22" s="22" t="n">
        <x:v>1</x:v>
      </x:c>
      <x:c r="J22" s="22" t="n">
        <x:v>1</x:v>
      </x:c>
      <x:c r="K22" s="22" t="n">
        <x:v>1</x:v>
      </x:c>
      <x:c r="L22" s="22" t="n">
        <x:v>1</x:v>
      </x:c>
      <x:c r="M22" s="20" t="n">
        <x:v>16</x:v>
      </x:c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</x:row>
    <x:row r="23">
      <x:c r="A23" s="20" t="str">
        <x:v>WinoMT</x:v>
      </x:c>
      <x:c r="B23" s="20" t="str">
        <x:v>Bias / fairness</x:v>
      </x:c>
      <x:c r="C23" s="22" t="n">
        <x:v>2</x:v>
      </x:c>
      <x:c r="D23" s="22" t="n">
        <x:v>2</x:v>
      </x:c>
      <x:c r="E23" s="22" t="n">
        <x:v>2</x:v>
      </x:c>
      <x:c r="F23" s="22" t="n">
        <x:v>2</x:v>
      </x:c>
      <x:c r="G23" s="22" t="n">
        <x:v>2</x:v>
      </x:c>
      <x:c r="H23" s="22" t="n">
        <x:v>2</x:v>
      </x:c>
      <x:c r="I23" s="22" t="n">
        <x:v>1</x:v>
      </x:c>
      <x:c r="J23" s="22" t="n">
        <x:v>1</x:v>
      </x:c>
      <x:c r="K23" s="22" t="n">
        <x:v>1</x:v>
      </x:c>
      <x:c r="L23" s="22" t="n">
        <x:v>1</x:v>
      </x:c>
      <x:c r="M23" s="20" t="n">
        <x:v>16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</x:row>
    <x:row r="24">
      <x:c r="A24" s="20" t="str">
        <x:v>ETHICS</x:v>
      </x:c>
      <x:c r="B24" s="20" t="str">
        <x:v>Ethics / values</x:v>
      </x:c>
      <x:c r="C24" s="22" t="n">
        <x:v>2</x:v>
      </x:c>
      <x:c r="D24" s="22" t="n">
        <x:v>2</x:v>
      </x:c>
      <x:c r="E24" s="22" t="n">
        <x:v>2</x:v>
      </x:c>
      <x:c r="F24" s="22" t="n">
        <x:v>2</x:v>
      </x:c>
      <x:c r="G24" s="22" t="n">
        <x:v>2</x:v>
      </x:c>
      <x:c r="H24" s="22" t="n">
        <x:v>2</x:v>
      </x:c>
      <x:c r="I24" s="22" t="n">
        <x:v>1</x:v>
      </x:c>
      <x:c r="J24" s="22" t="n">
        <x:v>1</x:v>
      </x:c>
      <x:c r="K24" s="22" t="n">
        <x:v>1</x:v>
      </x:c>
      <x:c r="L24" s="22" t="n">
        <x:v>1</x:v>
      </x:c>
      <x:c r="M24" s="20" t="n">
        <x:v>16</x:v>
      </x:c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</x:row>
    <x:row r="25">
      <x:c r="A25" s="20" t="str">
        <x:v>HolisticBias</x:v>
      </x:c>
      <x:c r="B25" s="20" t="str">
        <x:v>Bias / fairness</x:v>
      </x:c>
      <x:c r="C25" s="22" t="n">
        <x:v>2</x:v>
      </x:c>
      <x:c r="D25" s="22" t="n">
        <x:v>2</x:v>
      </x:c>
      <x:c r="E25" s="22" t="n">
        <x:v>2</x:v>
      </x:c>
      <x:c r="F25" s="22" t="n">
        <x:v>1</x:v>
      </x:c>
      <x:c r="G25" s="22" t="n">
        <x:v>2</x:v>
      </x:c>
      <x:c r="H25" s="22" t="n">
        <x:v>2</x:v>
      </x:c>
      <x:c r="I25" s="22" t="n">
        <x:v>1</x:v>
      </x:c>
      <x:c r="J25" s="22" t="n">
        <x:v>1</x:v>
      </x:c>
      <x:c r="K25" s="22" t="n">
        <x:v>1</x:v>
      </x:c>
      <x:c r="L25" s="22" t="n">
        <x:v>1</x:v>
      </x:c>
      <x:c r="M25" s="20" t="n">
        <x:v>15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>
      <x:c r="A26" s="20" t="str">
        <x:v>UnQover</x:v>
      </x:c>
      <x:c r="B26" s="20" t="str">
        <x:v>Bias / fairness</x:v>
      </x:c>
      <x:c r="C26" s="22" t="n">
        <x:v>2</x:v>
      </x:c>
      <x:c r="D26" s="22" t="n">
        <x:v>2</x:v>
      </x:c>
      <x:c r="E26" s="22" t="n">
        <x:v>2</x:v>
      </x:c>
      <x:c r="F26" s="22" t="n">
        <x:v>1</x:v>
      </x:c>
      <x:c r="G26" s="22" t="n">
        <x:v>2</x:v>
      </x:c>
      <x:c r="H26" s="22" t="n">
        <x:v>2</x:v>
      </x:c>
      <x:c r="I26" s="22" t="n">
        <x:v>1</x:v>
      </x:c>
      <x:c r="J26" s="22" t="n">
        <x:v>1</x:v>
      </x:c>
      <x:c r="K26" s="22" t="n">
        <x:v>1</x:v>
      </x:c>
      <x:c r="L26" s="22" t="n">
        <x:v>1</x:v>
      </x:c>
      <x:c r="M26" s="20" t="n">
        <x:v>15</x:v>
      </x:c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</x:row>
    <x:row r="27">
      <x:c r="A27" s="20" t="str">
        <x:v>Winogender Schemas</x:v>
      </x:c>
      <x:c r="B27" s="20" t="str">
        <x:v>Bias / fairness</x:v>
      </x:c>
      <x:c r="C27" s="22" t="n">
        <x:v>2</x:v>
      </x:c>
      <x:c r="D27" s="22" t="n">
        <x:v>2</x:v>
      </x:c>
      <x:c r="E27" s="22" t="n">
        <x:v>2</x:v>
      </x:c>
      <x:c r="F27" s="22" t="n">
        <x:v>1</x:v>
      </x:c>
      <x:c r="G27" s="22" t="n">
        <x:v>2</x:v>
      </x:c>
      <x:c r="H27" s="22" t="n">
        <x:v>2</x:v>
      </x:c>
      <x:c r="I27" s="22" t="n">
        <x:v>1</x:v>
      </x:c>
      <x:c r="J27" s="22" t="n">
        <x:v>1</x:v>
      </x:c>
      <x:c r="K27" s="22" t="n">
        <x:v>1</x:v>
      </x:c>
      <x:c r="L27" s="22" t="n">
        <x:v>1</x:v>
      </x:c>
      <x:c r="M27" s="20" t="n">
        <x:v>15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</x:row>
    <x:row r="28">
      <x:c r="A28" s="20" t="str">
        <x:v>WinoBias</x:v>
      </x:c>
      <x:c r="B28" s="20" t="str">
        <x:v>Bias / fairness</x:v>
      </x:c>
      <x:c r="C28" s="22" t="n">
        <x:v>2</x:v>
      </x:c>
      <x:c r="D28" s="22" t="n">
        <x:v>2</x:v>
      </x:c>
      <x:c r="E28" s="22" t="n">
        <x:v>2</x:v>
      </x:c>
      <x:c r="F28" s="22" t="n">
        <x:v>1</x:v>
      </x:c>
      <x:c r="G28" s="22" t="n">
        <x:v>2</x:v>
      </x:c>
      <x:c r="H28" s="22" t="n">
        <x:v>2</x:v>
      </x:c>
      <x:c r="I28" s="22" t="n">
        <x:v>1</x:v>
      </x:c>
      <x:c r="J28" s="22" t="n">
        <x:v>1</x:v>
      </x:c>
      <x:c r="K28" s="22" t="n">
        <x:v>1</x:v>
      </x:c>
      <x:c r="L28" s="22" t="n">
        <x:v>1</x:v>
      </x:c>
      <x:c r="M28" s="20" t="n">
        <x:v>15</x:v>
      </x:c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</x:row>
    <x:row r="29">
      <x:c r="A29" s="20" t="str">
        <x:v>CivilComments / Jigsaw Unintended Bias</x:v>
      </x:c>
      <x:c r="B29" s="20" t="str">
        <x:v>Bias / fairness</x:v>
      </x:c>
      <x:c r="C29" s="22" t="n">
        <x:v>2</x:v>
      </x:c>
      <x:c r="D29" s="22" t="n">
        <x:v>2</x:v>
      </x:c>
      <x:c r="E29" s="22" t="n">
        <x:v>1</x:v>
      </x:c>
      <x:c r="F29" s="22" t="n">
        <x:v>1</x:v>
      </x:c>
      <x:c r="G29" s="22" t="n">
        <x:v>1</x:v>
      </x:c>
      <x:c r="H29" s="22" t="n">
        <x:v>1</x:v>
      </x:c>
      <x:c r="I29" s="22" t="n">
        <x:v>1</x:v>
      </x:c>
      <x:c r="J29" s="22" t="n">
        <x:v>1</x:v>
      </x:c>
      <x:c r="K29" s="22" t="n">
        <x:v>1</x:v>
      </x:c>
      <x:c r="L29" s="22" t="n">
        <x:v>1</x:v>
      </x:c>
      <x:c r="M29" s="20" t="n">
        <x:v>12</x:v>
      </x:c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</x:row>
    <x:row r="30">
      <x:c r="A30" s="20" t="str">
        <x:v>HaluEval</x:v>
      </x:c>
      <x:c r="B30" s="20" t="str">
        <x:v>Truthfulness / hallucination</x:v>
      </x:c>
      <x:c r="C30" s="22" t="n">
        <x:v>2</x:v>
      </x:c>
      <x:c r="D30" s="22" t="n">
        <x:v>2</x:v>
      </x:c>
      <x:c r="E30" s="22" t="n">
        <x:v>2</x:v>
      </x:c>
      <x:c r="F30" s="22" t="n">
        <x:v>1</x:v>
      </x:c>
      <x:c r="G30" s="22" t="n">
        <x:v>2</x:v>
      </x:c>
      <x:c r="H30" s="22" t="n">
        <x:v>2</x:v>
      </x:c>
      <x:c r="I30" s="22" t="n">
        <x:v>1</x:v>
      </x:c>
      <x:c r="J30" s="22" t="n">
        <x:v>1</x:v>
      </x:c>
      <x:c r="K30" s="22" t="n">
        <x:v>1</x:v>
      </x:c>
      <x:c r="L30" s="22" t="n">
        <x:v>1</x:v>
      </x:c>
      <x:c r="M30" s="20" t="n">
        <x:v>15</x:v>
      </x:c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</x:row>
    <x:row r="31">
      <x:c r="A31" s="20" t="str">
        <x:v>AdvBench</x:v>
      </x:c>
      <x:c r="B31" s="20" t="str">
        <x:v>Safety / harmfulness</x:v>
      </x:c>
      <x:c r="C31" s="22" t="n">
        <x:v>2</x:v>
      </x:c>
      <x:c r="D31" s="22" t="n">
        <x:v>2</x:v>
      </x:c>
      <x:c r="E31" s="22" t="n">
        <x:v>1</x:v>
      </x:c>
      <x:c r="F31" s="22" t="n">
        <x:v>1</x:v>
      </x:c>
      <x:c r="G31" s="22" t="n">
        <x:v>2</x:v>
      </x:c>
      <x:c r="H31" s="22" t="n">
        <x:v>1</x:v>
      </x:c>
      <x:c r="I31" s="22" t="n">
        <x:v>0</x:v>
      </x:c>
      <x:c r="J31" s="22" t="n">
        <x:v>1</x:v>
      </x:c>
      <x:c r="K31" s="22" t="n">
        <x:v>1</x:v>
      </x:c>
      <x:c r="L31" s="22" t="n">
        <x:v>0</x:v>
      </x:c>
      <x:c r="M31" s="20" t="n">
        <x:v>11</x:v>
      </x:c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</x:row>
  </x:sheetData>
  <x:conditionalFormatting sqref="C2:L3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M2:M31">
    <x:cfRule type="dataBar" priority="2">
      <x:dataBar>
        <x:cfvo type="min"/>
        <x:cfvo type="max"/>
        <x:color rgb="FF6AA84F"/>
      </x:dataBar>
      <x:extLst>
        <x:ext xmlns:x14="http://schemas.microsoft.com/office/spreadsheetml/2009/9/main" uri="{B025F937-C7B1-47D3-B67F-A62EFF666E3E}">
          <x14:id>{A50B01A5-5EF1-4FEE-4CA1-A4FCEBECB6AC}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41127530e7d4b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50B01A5-5EF1-4FEE-4CA1-A4FCEBECB6AC}">
            <x14:dataBar gradient="1">
              <x14:cfvo type="min"/>
              <x14:cfvo type="max"/>
              <x14:fillColor rgb="FF6AA84F"/>
            </x14:dataBar>
          </x14:cfRule>
          <xm:sqref>M2:M31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16" t="str">
        <x:v>Finding</x:v>
      </x:c>
      <x:c r="B1" s="16" t="str">
        <x:v>Evidence</x:v>
      </x:c>
    </x:row>
    <x:row r="2">
      <x:c r="A2" s="9" t="str">
        <x:v>Public accessibility is strongest for basic artifacts.</x:v>
      </x:c>
      <x:c r="B2" t="str">
        <x:v>Items Public and Labels Public both averaged 2.00; all 30 included benchmarks had public items and labels.</x:v>
      </x:c>
    </x:row>
    <x:row r="3">
      <x:c r="A3" s="9" t="str">
        <x:v>Reproducibility is weaker than inspectability.</x:v>
      </x:c>
      <x:c r="B3" t="str">
        <x:v>Evaluation Code Public averaged 1.53; 46.7% of benchmarks had only partial code availability.</x:v>
      </x:c>
    </x:row>
    <x:row r="4">
      <x:c r="A4" s="9" t="str">
        <x:v>The weakest dimensions are license/reuse, annotation transparency, and versioning.</x:v>
      </x:c>
      <x:c r="B4" t="str">
        <x:v>License/Reuse Clear averaged 1.07, Annotation Process Clear 1.17, and Versioning/Maintenance 1.17.</x:v>
      </x:c>
    </x:row>
    <x:row r="5">
      <x:c r="A5" s="9" t="str">
        <x:v>Holistic/trustworthiness suites scored highest on average.</x:v>
      </x:c>
      <x:c r="B5" t="str">
        <x:v>Holistic/trustworthiness benchmarks averaged 17.75/20 across 4 benchmarks.</x:v>
      </x:c>
    </x:row>
    <x:row r="6">
      <x:c r="A6" s="9" t="str">
        <x:v>Bias/fairness benchmarks scored lowest among multi-benchmark groups.</x:v>
      </x:c>
      <x:c r="B6" t="str">
        <x:v>Bias/fairness benchmarks averaged 15.08/20 across 12 benchmarks.</x:v>
      </x:c>
    </x:row>
    <x:row r="7">
      <x:c r="A7" s="9" t="str">
        <x:v>Overall interpretation.</x:v>
      </x:c>
      <x:c r="B7" t="str">
        <x:v>Most responsible-AI benchmarks are publicly inspectable at the item/label level, but often lack deeper evidence needed for independent reproducibility and responsible interpretation.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0" hidden="0" customWidth="1"/>
    <x:col min="4" max="4" width="14" hidden="0" customWidth="1"/>
    <x:col min="5" max="5" width="60" hidden="0" customWidth="1"/>
    <x:col min="6" max="6" width="60" hidden="0" customWidth="1"/>
    <x:col min="7" max="7" width="40" hidden="0" customWidth="1"/>
  </x:cols>
  <x:sheetData>
    <x:row r="1">
      <x:c r="A1" s="16" t="str">
        <x:v>Benchmark</x:v>
      </x:c>
      <x:c r="B1" s="16" t="str">
        <x:v>Category</x:v>
      </x:c>
      <x:c r="C1" s="16" t="str">
        <x:v>Main Claim</x:v>
      </x:c>
      <x:c r="D1" s="16" t="str">
        <x:v>Decision</x:v>
      </x:c>
      <x:c r="E1" s="16" t="str">
        <x:v>Source URLs</x:v>
      </x:c>
      <x:c r="F1" s="16" t="str">
        <x:v>Evidence Notes</x:v>
      </x:c>
      <x:c r="G1" s="16" t="str">
        <x:v>Use in Paper</x:v>
      </x:c>
    </x:row>
    <x:row r="2">
      <x:c r="A2" t="str">
        <x:v>SafetyPrompts</x:v>
      </x:c>
      <x:c r="B2" t="str">
        <x:v>Safety dataset catalogue / evidence source</x:v>
      </x:c>
      <x:c r="C2" t="str">
        <x:v>Systematic review/living catalogue of open datasets for evaluating and improving LLM safety.</x:v>
      </x:c>
      <x:c r="D2" t="str">
        <x:v>Source Only</x:v>
      </x:c>
      <x:c r="E2" t="str">
        <x:v>https://arxiv.org/abs/2404.05399 ; https://safetyprompts.com/ ; https://ojs.aaai.org/index.php/AAAI/article/view/34975</x:v>
      </x:c>
      <x:c r="F2" t="str">
        <x:v>Not a single fixed benchmark; useful catalogue/review source for selecting safety benchmarks.</x:v>
      </x:c>
      <x:c r="G2" t="str">
        <x:v>Source-only, not in main scored sample unless meta-resources are studied.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79.19999694824219" hidden="0" customHeight="1">
      <x:c r="A1" s="38" t="str">
        <x:v>Monte Carlo Perturbation Robustness</x:v>
      </x:c>
      <x:c r="B1" s="38"/>
      <x:c r="C1" s="38"/>
      <x:c r="D1" s="38"/>
    </x:row>
    <x:row r="2" ht="52.79999923706055" hidden="0" customHeight="1">
      <x:c r="A2" s="38" t="str">
        <x:v>Sigma</x:v>
      </x:c>
      <x:c r="B2" s="38" t="str">
        <x:v>Mean Spearman rho</x:v>
      </x:c>
      <x:c r="C2" s="38" t="str">
        <x:v>95% simulation interval</x:v>
      </x:c>
      <x:c r="D2" s="38" t="str">
        <x:v>Mean abs. rank displacement</x:v>
      </x:c>
    </x:row>
    <x:row r="3" ht="26.399999618530273" hidden="0" customHeight="1">
      <x:c r="A3" s="20" t="n">
        <x:v>0.1</x:v>
      </x:c>
      <x:c r="B3" s="20" t="n">
        <x:v>0.9999989273</x:v>
      </x:c>
      <x:c r="C3" s="20" t="str">
        <x:v>1.000-1.000</x:v>
      </x:c>
      <x:c r="D3" s="20" t="n">
        <x:v>0.0000433333</x:v>
      </x:c>
    </x:row>
    <x:row r="4" ht="26.399999618530273" hidden="0" customHeight="1">
      <x:c r="A4" s="20" t="n">
        <x:v>0.25</x:v>
      </x:c>
      <x:c r="B4" s="20" t="n">
        <x:v>0.9270876528</x:v>
      </x:c>
      <x:c r="C4" s="20" t="str">
        <x:v>0.846-0.979</x:v>
      </x:c>
      <x:c r="D4" s="20" t="n">
        <x:v>1.9582</x:v>
      </x:c>
    </x:row>
    <x:row r="5" ht="26.399999618530273" hidden="0" customHeight="1">
      <x:c r="A5" s="20" t="n">
        <x:v>0.5</x:v>
      </x:c>
      <x:c r="B5" s="20" t="n">
        <x:v>0.6635566923</x:v>
      </x:c>
      <x:c r="C5" s="20" t="str">
        <x:v>0.454-0.834</x:v>
      </x:c>
      <x:c r="D5" s="20" t="n">
        <x:v>5.24771</x:v>
      </x:c>
    </x:row>
    <x:row r="6" ht="26.399999618530273" hidden="0" customHeight="1">
      <x:c r="A6" s="20" t="n">
        <x:v>0.75</x:v>
      </x:c>
      <x:c r="B6" s="20" t="n">
        <x:v>0.5168601003</x:v>
      </x:c>
      <x:c r="C6" s="20" t="str">
        <x:v>0.229-0.747</x:v>
      </x:c>
      <x:c r="D6" s="20" t="n">
        <x:v>6.4539633333</x:v>
      </x:c>
    </x:row>
    <x:row r="7" ht="26.399999618530273" hidden="0" customHeight="1">
      <x:c r="A7" s="20" t="n">
        <x:v>1</x:v>
      </x:c>
      <x:c r="B7" s="20" t="n">
        <x:v>0.4148242676</x:v>
      </x:c>
      <x:c r="C7" s="20" t="str">
        <x:v>0.101-0.686</x:v>
      </x:c>
      <x:c r="D7" s="20" t="n">
        <x:v>7.21157</x:v>
      </x:c>
    </x:row>
    <x:row r="8" ht="15" hidden="0" customHeight="1">
      <x:c r="A8" s="20"/>
      <x:c r="B8" s="20"/>
      <x:c r="C8" s="20"/>
      <x:c r="D8" s="20"/>
    </x:row>
    <x:row r="9" ht="39.599998474121094" hidden="0" customHeight="1">
      <x:c r="A9" s="38" t="str">
        <x:v>Other robustness results</x:v>
      </x:c>
      <x:c r="B9" s="38"/>
      <x:c r="C9" s="20"/>
      <x:c r="D9" s="20"/>
    </x:row>
    <x:row r="10" ht="132" hidden="0" customHeight="1">
      <x:c r="A10" s="20" t="str">
        <x:v>Leave-one-dimension-out</x:v>
      </x:c>
      <x:c r="B10" s="20" t="str">
        <x:v>Evaluation Code Public produced the largest mean absolute rank displacement: 2.87 positions (Spearman rho = 0.916).</x:v>
      </x:c>
      <x:c r="C10" s="20"/>
      <x:c r="D10" s="20"/>
    </x:row>
    <x:row r="11" ht="184.8000030517578" hidden="0" customHeight="1">
      <x:c r="A11" s="20" t="str">
        <x:v>Alternative weighting</x:v>
      </x:c>
      <x:c r="B11" s="20" t="str">
        <x:v>Across the six explicit released-package scenarios, Spearman rank correlations with the primary equal-weight ordering ranged from 0.993 to 1.000.</x:v>
      </x:c>
      <x:c r="C11" s="20"/>
      <x:c r="D11" s="20"/>
    </x:row>
    <x:row r="12" ht="171.60000610351562" hidden="0" customHeight="1">
      <x:c r="A12" s="20" t="str">
        <x:v>Interpretation</x:v>
      </x:c>
      <x:c r="B12" s="20" t="str">
        <x:v>Benchmark ordering is robust to the specified deterministic reweighting scenarios and small Monte Carlo perturbations, but becomes less stable as cell-level perturbation uncertainty increases.</x:v>
      </x:c>
      <x:c r="C12" s="20"/>
      <x:c r="D12" s="20"/>
    </x:row>
  </x:sheetData>
  <x:pageMargins left="0.7" right="0.7" top="0.75" bottom="0.75" header="0.3" footer="0.3"/>
</x:worksheet>
</file>